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9.xml" ContentType="application/vnd.openxmlformats-officedocument.drawingml.chartshapes+xml"/>
  <Override PartName="/xl/charts/chart1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2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vanisamlal/Desktop/Shivani Samlal-Course Project/"/>
    </mc:Choice>
  </mc:AlternateContent>
  <xr:revisionPtr revIDLastSave="0" documentId="13_ncr:1_{C6E149CE-9EF9-1448-9F69-DA026C21FCFA}" xr6:coauthVersionLast="47" xr6:coauthVersionMax="47" xr10:uidLastSave="{00000000-0000-0000-0000-000000000000}"/>
  <bookViews>
    <workbookView xWindow="0" yWindow="500" windowWidth="28800" windowHeight="16120" xr2:uid="{9CD375B3-4EFC-2448-B2D9-CDE9CC8B7ABC}"/>
  </bookViews>
  <sheets>
    <sheet name="README" sheetId="1" r:id="rId1"/>
    <sheet name="DATA" sheetId="2" r:id="rId2"/>
    <sheet name="Quarterly Real GDP" sheetId="6" r:id="rId3"/>
    <sheet name="HP Filter" sheetId="7" r:id="rId4"/>
    <sheet name="Okun's Law ANOVA Table" sheetId="10" r:id="rId5"/>
    <sheet name="PC ANOVA Table" sheetId="12" r:id="rId6"/>
    <sheet name="IS Curve ANOVA Table" sheetId="15" r:id="rId7"/>
    <sheet name="Labor Force " sheetId="17" r:id="rId8"/>
    <sheet name="Productivity &amp; ULC" sheetId="19" r:id="rId9"/>
    <sheet name="Abenomics" sheetId="24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O10" i="2"/>
  <c r="P10" i="2" s="1"/>
  <c r="O9" i="2"/>
  <c r="P9" i="2" s="1"/>
  <c r="O8" i="2"/>
  <c r="P8" i="2" s="1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6" i="2"/>
  <c r="U7" i="2"/>
  <c r="U8" i="2"/>
  <c r="U9" i="2"/>
  <c r="U10" i="2"/>
  <c r="U11" i="2"/>
  <c r="U12" i="2"/>
  <c r="U13" i="2"/>
  <c r="U14" i="2"/>
  <c r="U15" i="2"/>
  <c r="U16" i="2"/>
  <c r="U3" i="2"/>
  <c r="U4" i="2"/>
  <c r="U5" i="2"/>
  <c r="U2" i="2"/>
  <c r="O4" i="2"/>
  <c r="P4" i="2" s="1"/>
  <c r="O5" i="2"/>
  <c r="P5" i="2" s="1"/>
  <c r="O6" i="2"/>
  <c r="P6" i="2" s="1"/>
  <c r="O7" i="2"/>
  <c r="P7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P22" i="2" s="1"/>
  <c r="O23" i="2"/>
  <c r="P23" i="2" s="1"/>
  <c r="O24" i="2"/>
  <c r="P24" i="2" s="1"/>
  <c r="O25" i="2"/>
  <c r="P25" i="2" s="1"/>
  <c r="O26" i="2"/>
  <c r="P26" i="2" s="1"/>
  <c r="O27" i="2"/>
  <c r="P27" i="2" s="1"/>
  <c r="O28" i="2"/>
  <c r="P28" i="2" s="1"/>
  <c r="O29" i="2"/>
  <c r="P29" i="2" s="1"/>
  <c r="O30" i="2"/>
  <c r="P30" i="2" s="1"/>
  <c r="O31" i="2"/>
  <c r="P31" i="2" s="1"/>
  <c r="O32" i="2"/>
  <c r="P32" i="2" s="1"/>
  <c r="O33" i="2"/>
  <c r="P33" i="2" s="1"/>
  <c r="O34" i="2"/>
  <c r="P34" i="2" s="1"/>
  <c r="O35" i="2"/>
  <c r="P35" i="2" s="1"/>
  <c r="O36" i="2"/>
  <c r="P36" i="2" s="1"/>
  <c r="O37" i="2"/>
  <c r="P37" i="2" s="1"/>
  <c r="O38" i="2"/>
  <c r="P38" i="2" s="1"/>
  <c r="O39" i="2"/>
  <c r="P39" i="2" s="1"/>
  <c r="O40" i="2"/>
  <c r="P40" i="2" s="1"/>
  <c r="O41" i="2"/>
  <c r="P41" i="2" s="1"/>
  <c r="O42" i="2"/>
  <c r="P42" i="2" s="1"/>
  <c r="O43" i="2"/>
  <c r="P43" i="2" s="1"/>
  <c r="O44" i="2"/>
  <c r="P44" i="2" s="1"/>
  <c r="O45" i="2"/>
  <c r="P45" i="2" s="1"/>
  <c r="O46" i="2"/>
  <c r="P46" i="2" s="1"/>
  <c r="O47" i="2"/>
  <c r="P47" i="2" s="1"/>
  <c r="O48" i="2"/>
  <c r="P48" i="2" s="1"/>
  <c r="O49" i="2"/>
  <c r="P49" i="2" s="1"/>
  <c r="O50" i="2"/>
  <c r="P50" i="2" s="1"/>
  <c r="O51" i="2"/>
  <c r="P51" i="2" s="1"/>
  <c r="O52" i="2"/>
  <c r="P52" i="2" s="1"/>
  <c r="O53" i="2"/>
  <c r="P53" i="2" s="1"/>
  <c r="O54" i="2"/>
  <c r="P54" i="2" s="1"/>
  <c r="O55" i="2"/>
  <c r="P55" i="2" s="1"/>
  <c r="O56" i="2"/>
  <c r="P56" i="2" s="1"/>
  <c r="O57" i="2"/>
  <c r="P57" i="2" s="1"/>
  <c r="O58" i="2"/>
  <c r="P58" i="2" s="1"/>
  <c r="O59" i="2"/>
  <c r="P59" i="2" s="1"/>
  <c r="O60" i="2"/>
  <c r="P60" i="2" s="1"/>
  <c r="O61" i="2"/>
  <c r="P61" i="2" s="1"/>
  <c r="O62" i="2"/>
  <c r="P62" i="2" s="1"/>
  <c r="O63" i="2"/>
  <c r="P63" i="2" s="1"/>
  <c r="O64" i="2"/>
  <c r="P64" i="2" s="1"/>
  <c r="O65" i="2"/>
  <c r="P65" i="2" s="1"/>
  <c r="O66" i="2"/>
  <c r="P66" i="2" s="1"/>
  <c r="O67" i="2"/>
  <c r="P67" i="2" s="1"/>
  <c r="O68" i="2"/>
  <c r="P68" i="2" s="1"/>
  <c r="O69" i="2"/>
  <c r="P69" i="2" s="1"/>
  <c r="O70" i="2"/>
  <c r="P70" i="2" s="1"/>
  <c r="O71" i="2"/>
  <c r="P71" i="2" s="1"/>
  <c r="O72" i="2"/>
  <c r="P72" i="2" s="1"/>
  <c r="O73" i="2"/>
  <c r="P73" i="2" s="1"/>
  <c r="O74" i="2"/>
  <c r="P74" i="2" s="1"/>
  <c r="O75" i="2"/>
  <c r="P75" i="2" s="1"/>
  <c r="O76" i="2"/>
  <c r="P76" i="2" s="1"/>
  <c r="O77" i="2"/>
  <c r="P77" i="2" s="1"/>
  <c r="O78" i="2"/>
  <c r="P78" i="2" s="1"/>
  <c r="O79" i="2"/>
  <c r="P79" i="2" s="1"/>
  <c r="O80" i="2"/>
  <c r="P80" i="2" s="1"/>
  <c r="O81" i="2"/>
  <c r="P81" i="2" s="1"/>
  <c r="O82" i="2"/>
  <c r="P82" i="2" s="1"/>
  <c r="O83" i="2"/>
  <c r="P83" i="2" s="1"/>
  <c r="O84" i="2"/>
  <c r="P84" i="2" s="1"/>
  <c r="O85" i="2"/>
  <c r="P85" i="2" s="1"/>
  <c r="O86" i="2"/>
  <c r="P86" i="2" s="1"/>
  <c r="O87" i="2"/>
  <c r="P87" i="2" s="1"/>
  <c r="O88" i="2"/>
  <c r="P88" i="2" s="1"/>
  <c r="O89" i="2"/>
  <c r="P89" i="2" s="1"/>
  <c r="O90" i="2"/>
  <c r="P90" i="2" s="1"/>
  <c r="O91" i="2"/>
  <c r="P91" i="2" s="1"/>
  <c r="O92" i="2"/>
  <c r="P92" i="2" s="1"/>
  <c r="O93" i="2"/>
  <c r="P93" i="2" s="1"/>
  <c r="O94" i="2"/>
  <c r="P94" i="2" s="1"/>
  <c r="O95" i="2"/>
  <c r="P95" i="2" s="1"/>
  <c r="O96" i="2"/>
  <c r="P96" i="2" s="1"/>
  <c r="O97" i="2"/>
  <c r="P97" i="2" s="1"/>
  <c r="O98" i="2"/>
  <c r="P98" i="2" s="1"/>
  <c r="O99" i="2"/>
  <c r="P99" i="2" s="1"/>
  <c r="O100" i="2"/>
  <c r="P100" i="2" s="1"/>
  <c r="O101" i="2"/>
  <c r="P101" i="2" s="1"/>
  <c r="O102" i="2"/>
  <c r="P102" i="2" s="1"/>
  <c r="O103" i="2"/>
  <c r="P103" i="2" s="1"/>
  <c r="O104" i="2"/>
  <c r="P104" i="2" s="1"/>
  <c r="O105" i="2"/>
  <c r="P105" i="2" s="1"/>
  <c r="O106" i="2"/>
  <c r="P106" i="2" s="1"/>
  <c r="O107" i="2"/>
  <c r="P107" i="2" s="1"/>
  <c r="O108" i="2"/>
  <c r="P108" i="2" s="1"/>
  <c r="O109" i="2"/>
  <c r="P109" i="2" s="1"/>
  <c r="O110" i="2"/>
  <c r="P110" i="2" s="1"/>
  <c r="O111" i="2"/>
  <c r="P111" i="2" s="1"/>
  <c r="O3" i="2"/>
  <c r="P3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L43" i="2" s="1"/>
  <c r="G44" i="2"/>
  <c r="G45" i="2"/>
  <c r="G46" i="2"/>
  <c r="G47" i="2"/>
  <c r="G48" i="2"/>
  <c r="G49" i="2"/>
  <c r="G50" i="2"/>
  <c r="G51" i="2"/>
  <c r="L51" i="2" s="1"/>
  <c r="G52" i="2"/>
  <c r="G53" i="2"/>
  <c r="G54" i="2"/>
  <c r="G55" i="2"/>
  <c r="G56" i="2"/>
  <c r="G57" i="2"/>
  <c r="G58" i="2"/>
  <c r="G59" i="2"/>
  <c r="L59" i="2" s="1"/>
  <c r="G60" i="2"/>
  <c r="G61" i="2"/>
  <c r="G62" i="2"/>
  <c r="G63" i="2"/>
  <c r="G64" i="2"/>
  <c r="G65" i="2"/>
  <c r="G66" i="2"/>
  <c r="G67" i="2"/>
  <c r="L67" i="2" s="1"/>
  <c r="G68" i="2"/>
  <c r="G69" i="2"/>
  <c r="G70" i="2"/>
  <c r="G71" i="2"/>
  <c r="G72" i="2"/>
  <c r="G73" i="2"/>
  <c r="G74" i="2"/>
  <c r="G75" i="2"/>
  <c r="L75" i="2" s="1"/>
  <c r="G76" i="2"/>
  <c r="G77" i="2"/>
  <c r="G78" i="2"/>
  <c r="G79" i="2"/>
  <c r="G80" i="2"/>
  <c r="G81" i="2"/>
  <c r="G82" i="2"/>
  <c r="G83" i="2"/>
  <c r="L83" i="2" s="1"/>
  <c r="G84" i="2"/>
  <c r="G85" i="2"/>
  <c r="G86" i="2"/>
  <c r="G87" i="2"/>
  <c r="G88" i="2"/>
  <c r="G89" i="2"/>
  <c r="G90" i="2"/>
  <c r="G91" i="2"/>
  <c r="L91" i="2" s="1"/>
  <c r="G92" i="2"/>
  <c r="G93" i="2"/>
  <c r="G94" i="2"/>
  <c r="G95" i="2"/>
  <c r="G96" i="2"/>
  <c r="G97" i="2"/>
  <c r="G98" i="2"/>
  <c r="G99" i="2"/>
  <c r="L99" i="2" s="1"/>
  <c r="G100" i="2"/>
  <c r="G101" i="2"/>
  <c r="G102" i="2"/>
  <c r="G103" i="2"/>
  <c r="G104" i="2"/>
  <c r="G105" i="2"/>
  <c r="G106" i="2"/>
  <c r="G107" i="2"/>
  <c r="L107" i="2" s="1"/>
  <c r="G108" i="2"/>
  <c r="G109" i="2"/>
  <c r="G110" i="2"/>
  <c r="G111" i="2"/>
  <c r="G112" i="2"/>
  <c r="G113" i="2"/>
  <c r="G114" i="2"/>
  <c r="G115" i="2"/>
  <c r="L115" i="2" s="1"/>
  <c r="G116" i="2"/>
  <c r="G117" i="2"/>
  <c r="G118" i="2"/>
  <c r="G119" i="2"/>
  <c r="G120" i="2"/>
  <c r="G121" i="2"/>
  <c r="G122" i="2"/>
  <c r="G123" i="2"/>
  <c r="L123" i="2" s="1"/>
  <c r="G124" i="2"/>
  <c r="G125" i="2"/>
  <c r="G2" i="2"/>
  <c r="Q2" i="2" a="1"/>
  <c r="L35" i="2" l="1"/>
  <c r="L27" i="2"/>
  <c r="L112" i="2"/>
  <c r="L104" i="2"/>
  <c r="L96" i="2"/>
  <c r="L88" i="2"/>
  <c r="L80" i="2"/>
  <c r="L64" i="2"/>
  <c r="L56" i="2"/>
  <c r="L48" i="2"/>
  <c r="L40" i="2"/>
  <c r="L32" i="2"/>
  <c r="L24" i="2"/>
  <c r="L16" i="2"/>
  <c r="L11" i="2"/>
  <c r="L124" i="2"/>
  <c r="L116" i="2"/>
  <c r="L108" i="2"/>
  <c r="L100" i="2"/>
  <c r="L92" i="2"/>
  <c r="L84" i="2"/>
  <c r="L76" i="2"/>
  <c r="L68" i="2"/>
  <c r="L60" i="2"/>
  <c r="L52" i="2"/>
  <c r="L44" i="2"/>
  <c r="L36" i="2"/>
  <c r="L28" i="2"/>
  <c r="L20" i="2"/>
  <c r="L12" i="2"/>
  <c r="L4" i="2"/>
  <c r="L8" i="2"/>
  <c r="L119" i="2"/>
  <c r="L111" i="2"/>
  <c r="L103" i="2"/>
  <c r="L95" i="2"/>
  <c r="L87" i="2"/>
  <c r="L79" i="2"/>
  <c r="L71" i="2"/>
  <c r="L63" i="2"/>
  <c r="L55" i="2"/>
  <c r="L47" i="2"/>
  <c r="L39" i="2"/>
  <c r="L31" i="2"/>
  <c r="L23" i="2"/>
  <c r="L15" i="2"/>
  <c r="L7" i="2"/>
  <c r="Q2" i="2"/>
  <c r="Q10" i="2"/>
  <c r="Q18" i="2"/>
  <c r="Q26" i="2"/>
  <c r="Q34" i="2"/>
  <c r="Q42" i="2"/>
  <c r="Q50" i="2"/>
  <c r="Q58" i="2"/>
  <c r="Q66" i="2"/>
  <c r="Q74" i="2"/>
  <c r="Q82" i="2"/>
  <c r="Q90" i="2"/>
  <c r="Q98" i="2"/>
  <c r="Q106" i="2"/>
  <c r="Q3" i="2"/>
  <c r="Q11" i="2"/>
  <c r="Q19" i="2"/>
  <c r="Q27" i="2"/>
  <c r="Q35" i="2"/>
  <c r="Q43" i="2"/>
  <c r="Q51" i="2"/>
  <c r="Q59" i="2"/>
  <c r="Q67" i="2"/>
  <c r="Q75" i="2"/>
  <c r="Q83" i="2"/>
  <c r="Q91" i="2"/>
  <c r="Q99" i="2"/>
  <c r="Q107" i="2"/>
  <c r="Q4" i="2"/>
  <c r="Q12" i="2"/>
  <c r="Q20" i="2"/>
  <c r="Q28" i="2"/>
  <c r="Q36" i="2"/>
  <c r="Q44" i="2"/>
  <c r="Q52" i="2"/>
  <c r="Q60" i="2"/>
  <c r="Q68" i="2"/>
  <c r="Q76" i="2"/>
  <c r="Q84" i="2"/>
  <c r="Q92" i="2"/>
  <c r="Q100" i="2"/>
  <c r="Q108" i="2"/>
  <c r="Q5" i="2"/>
  <c r="Q13" i="2"/>
  <c r="Q21" i="2"/>
  <c r="Q29" i="2"/>
  <c r="Q37" i="2"/>
  <c r="Q45" i="2"/>
  <c r="Q53" i="2"/>
  <c r="Q61" i="2"/>
  <c r="Q69" i="2"/>
  <c r="Q77" i="2"/>
  <c r="Q85" i="2"/>
  <c r="Q93" i="2"/>
  <c r="Q101" i="2"/>
  <c r="Q109" i="2"/>
  <c r="Q22" i="2"/>
  <c r="Q30" i="2"/>
  <c r="Q38" i="2"/>
  <c r="Q46" i="2"/>
  <c r="Q54" i="2"/>
  <c r="Q70" i="2"/>
  <c r="Q78" i="2"/>
  <c r="Q86" i="2"/>
  <c r="Q94" i="2"/>
  <c r="Q102" i="2"/>
  <c r="Q110" i="2"/>
  <c r="Q7" i="2"/>
  <c r="Q15" i="2"/>
  <c r="Q23" i="2"/>
  <c r="Q31" i="2"/>
  <c r="Q39" i="2"/>
  <c r="Q47" i="2"/>
  <c r="Q55" i="2"/>
  <c r="Q63" i="2"/>
  <c r="Q71" i="2"/>
  <c r="Q79" i="2"/>
  <c r="Q87" i="2"/>
  <c r="Q95" i="2"/>
  <c r="Q103" i="2"/>
  <c r="Q8" i="2"/>
  <c r="Q16" i="2"/>
  <c r="Q24" i="2"/>
  <c r="Q32" i="2"/>
  <c r="Q40" i="2"/>
  <c r="Q14" i="2"/>
  <c r="Q6" i="2"/>
  <c r="Q62" i="2"/>
  <c r="Q9" i="2"/>
  <c r="Q57" i="2"/>
  <c r="Q89" i="2"/>
  <c r="Q64" i="2"/>
  <c r="Q96" i="2"/>
  <c r="Q25" i="2"/>
  <c r="Q65" i="2"/>
  <c r="Q33" i="2"/>
  <c r="Q104" i="2"/>
  <c r="Q73" i="2"/>
  <c r="Q105" i="2"/>
  <c r="Q80" i="2"/>
  <c r="Q49" i="2"/>
  <c r="Q56" i="2"/>
  <c r="Q17" i="2"/>
  <c r="Q97" i="2"/>
  <c r="Q72" i="2"/>
  <c r="Q41" i="2"/>
  <c r="Q48" i="2"/>
  <c r="Q81" i="2"/>
  <c r="Q88" i="2"/>
  <c r="Q111" i="2"/>
  <c r="L125" i="2"/>
  <c r="L117" i="2"/>
  <c r="L109" i="2"/>
  <c r="L101" i="2"/>
  <c r="L93" i="2"/>
  <c r="L85" i="2"/>
  <c r="L77" i="2"/>
  <c r="L69" i="2"/>
  <c r="L61" i="2"/>
  <c r="L53" i="2"/>
  <c r="L45" i="2"/>
  <c r="L37" i="2"/>
  <c r="L29" i="2"/>
  <c r="L21" i="2"/>
  <c r="L13" i="2"/>
  <c r="L5" i="2"/>
  <c r="L122" i="2"/>
  <c r="L114" i="2"/>
  <c r="L106" i="2"/>
  <c r="L98" i="2"/>
  <c r="L90" i="2"/>
  <c r="L82" i="2"/>
  <c r="L74" i="2"/>
  <c r="L66" i="2"/>
  <c r="L58" i="2"/>
  <c r="L50" i="2"/>
  <c r="L42" i="2"/>
  <c r="L34" i="2"/>
  <c r="L26" i="2"/>
  <c r="L18" i="2"/>
  <c r="L10" i="2"/>
  <c r="L19" i="2"/>
  <c r="L120" i="2"/>
  <c r="L72" i="2"/>
  <c r="L118" i="2"/>
  <c r="L110" i="2"/>
  <c r="L102" i="2"/>
  <c r="L94" i="2"/>
  <c r="L86" i="2"/>
  <c r="L78" i="2"/>
  <c r="L70" i="2"/>
  <c r="L62" i="2"/>
  <c r="L54" i="2"/>
  <c r="L46" i="2"/>
  <c r="L38" i="2"/>
  <c r="L30" i="2"/>
  <c r="L22" i="2"/>
  <c r="L14" i="2"/>
  <c r="L6" i="2"/>
  <c r="L3" i="2"/>
  <c r="L121" i="2"/>
  <c r="L113" i="2"/>
  <c r="L105" i="2"/>
  <c r="L97" i="2"/>
  <c r="L89" i="2"/>
  <c r="L81" i="2"/>
  <c r="L73" i="2"/>
  <c r="L65" i="2"/>
  <c r="L57" i="2"/>
  <c r="L49" i="2"/>
  <c r="L41" i="2"/>
  <c r="L33" i="2"/>
  <c r="L25" i="2"/>
  <c r="L17" i="2"/>
  <c r="L9" i="2"/>
</calcChain>
</file>

<file path=xl/sharedStrings.xml><?xml version="1.0" encoding="utf-8"?>
<sst xmlns="http://schemas.openxmlformats.org/spreadsheetml/2006/main" count="259" uniqueCount="104">
  <si>
    <t>Year-Quarter</t>
  </si>
  <si>
    <t>R.GDP</t>
  </si>
  <si>
    <t>GDP Def</t>
  </si>
  <si>
    <t>N.GDP</t>
  </si>
  <si>
    <t>Log GDP</t>
  </si>
  <si>
    <t>Cyclical</t>
  </si>
  <si>
    <t>U. Rate</t>
  </si>
  <si>
    <t>CPI</t>
  </si>
  <si>
    <t>ΔU. Rate</t>
  </si>
  <si>
    <t>GDP Growth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</si>
  <si>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</si>
  <si>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</si>
  <si>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</si>
  <si>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</si>
  <si>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</si>
  <si>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</si>
  <si>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</si>
  <si>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</si>
  <si>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</si>
  <si>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</si>
  <si>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</si>
  <si>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</si>
  <si>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</si>
  <si>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</si>
  <si>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</si>
  <si>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</si>
  <si>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</si>
  <si>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</si>
  <si>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</si>
  <si>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</si>
  <si>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</si>
  <si>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</si>
  <si>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</si>
  <si>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</si>
  <si>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</si>
  <si>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</si>
  <si>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Residuals</t>
  </si>
  <si>
    <t>Standard Residuals</t>
  </si>
  <si>
    <t>PROBABILITY OUTPUT</t>
  </si>
  <si>
    <t>Percentile</t>
  </si>
  <si>
    <t>Predicted ΔU. Rate</t>
  </si>
  <si>
    <t>Inflation Rate</t>
  </si>
  <si>
    <t>Predicted Inflation Rate</t>
  </si>
  <si>
    <t>Policy Rate</t>
  </si>
  <si>
    <t>Real Int. Rate</t>
  </si>
  <si>
    <t>HP(logGDP)</t>
  </si>
  <si>
    <t>HP(real int)</t>
  </si>
  <si>
    <t>Predicted HP(logGDP)</t>
  </si>
  <si>
    <t>L.Force (55-64)</t>
  </si>
  <si>
    <t>Share of 15-64 in the Labor Force, %</t>
  </si>
  <si>
    <t>Employment Rate (15-65), %</t>
  </si>
  <si>
    <t>Predicted Employment Rate (15-65), %</t>
  </si>
  <si>
    <t>Share of 55-64 in the Labor Force, %</t>
  </si>
  <si>
    <t>Unit Labor Cost, %</t>
  </si>
  <si>
    <t>Predicted Unit Labor Cost, %</t>
  </si>
  <si>
    <t>Real I</t>
  </si>
  <si>
    <t>Pre-Abe I</t>
  </si>
  <si>
    <t>Pre-Abe GDP</t>
  </si>
  <si>
    <t>Post-Abe I</t>
  </si>
  <si>
    <t>Post-Abe GDP</t>
  </si>
  <si>
    <t>Log of Real I</t>
  </si>
  <si>
    <t>Pre-Abe Policy</t>
  </si>
  <si>
    <t>Post-Abe Policy</t>
  </si>
  <si>
    <t>Japan_Macroeconomic_Analysis.xlsx</t>
  </si>
  <si>
    <t>Shivani Samlal</t>
  </si>
  <si>
    <t xml:space="preserve">This workbook contains a macroeconomic analysis of Japan from 1994-2024. </t>
  </si>
  <si>
    <t>N. GDP</t>
  </si>
  <si>
    <t>GDP Deflator</t>
  </si>
  <si>
    <t>R. GDP</t>
  </si>
  <si>
    <t>HP(log GDP)</t>
  </si>
  <si>
    <t>L. Force (55-64)</t>
  </si>
  <si>
    <t>Column Name</t>
  </si>
  <si>
    <t>Description</t>
  </si>
  <si>
    <t>Quarterly</t>
  </si>
  <si>
    <t>Gross Domestic Product Deflator for Japan, Index, Quarterly, Seasonally Adjusted</t>
  </si>
  <si>
    <t>Nominal Gross Domestic Product for Japan, Millions of Domestic Currency, Quarterly, Seasonally Adjusted</t>
  </si>
  <si>
    <t>Unit Labor Costs: Early Estimate of Quarterly Unit Labor Costs (ULC) Indicators: Labor Productivity: Total for Japan, Index 2015=100, Quarterly, Seasonally Adjusted</t>
  </si>
  <si>
    <t>Infra-Annual Labor Statistics: Unemployment Rate Total: From 15 to 64 Years for Japan, Percent, Quarterly, Seasonally Adjusted</t>
  </si>
  <si>
    <t>L. Force (15-64)</t>
  </si>
  <si>
    <t>L.Force (15-64)</t>
  </si>
  <si>
    <t>Change in Unemployment Rate from Year t to Year t+1</t>
  </si>
  <si>
    <t>Log of Real Public Investment</t>
  </si>
  <si>
    <t>Real Public Investment from 1994Q1-2012Q4</t>
  </si>
  <si>
    <t>Real Public Investment from 2013Q1- 2024Q4</t>
  </si>
  <si>
    <t>GDP from 1994Q1-2012Q4</t>
  </si>
  <si>
    <t>Policy Rate from 1994Q1-2012Q4</t>
  </si>
  <si>
    <t>Policy Rate from 2013Q1-2024Q4</t>
  </si>
  <si>
    <t>GDP from 2013Q1-2024Q4</t>
  </si>
  <si>
    <t>Infra-Annual Labor Statistics: Employment Rate Total: From 15 to 64 Years for Japan, Percent, Quarterly, Seasonally Adjusted</t>
  </si>
  <si>
    <t>Infra-Annual Labor Statistics: Working-Age Population Total: From 15 to 64 Years for Japan, Persons, Quarterly, Seasonally Adjusted</t>
  </si>
  <si>
    <t>Infra-Annual Labor Statistics: Working-Age Population Total: From 55 to 64 Years for Japan, Persons, Quarterly, Seasonally Adjusted</t>
  </si>
  <si>
    <t>Real Public Investment for Japan, Billions of Chained 2015 Yen, Quarterly, Seasonally Adjusted</t>
  </si>
  <si>
    <t>Log of Real GDP</t>
  </si>
  <si>
    <t>Change in GDP from Year t to Year t+1</t>
  </si>
  <si>
    <t>Real Gross Domestic Product for Japan, Billions of Yen, Quarterly, Seasonally Adjusted</t>
  </si>
  <si>
    <t>Consumer Price Indices (CPIs, HICPs), COICOP 1999: Consumer Price Index: Total for Japan, Index 2015=100, Quarterly, Seasonally Adjusted</t>
  </si>
  <si>
    <t>Year-over-year change in the Consumer Price Index, Percent, Quarterly, Seasonally Adjusted</t>
  </si>
  <si>
    <t>Short-term interest rate set by the Bank of Japan (BOJ), Percent, Quarterly, Seasonally Adjusted</t>
  </si>
  <si>
    <t>Employment Rate (15-64), %</t>
  </si>
  <si>
    <t>Individuals aged 55 to 64 who are actively participating in the labor force, either employed or actively seeking employment, Percent</t>
  </si>
  <si>
    <t>Inflation-adjusted interest rate, calculated as the policy rate minus the inflation rate, Percent</t>
  </si>
  <si>
    <t>Hodrick-Prescott (HP) filtered trend of the real interest rate, Percent</t>
  </si>
  <si>
    <t>Hodrick-Prescott (HP) filtered trend of the natural logarithm of real GDP.</t>
  </si>
  <si>
    <t>Cyclical component of log real GDP, calculated as the difference between actual log GDP and its HP-filtered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</si>
</sst>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000000"/>
    <numFmt numFmtId="166" formatCode="0.0000%"/>
    <numFmt numFmtId="167" formatCode="0.000"/>
    <numFmt numFmtId="168" formatCode="0.0"/>
    <numFmt numFmtId="169" formatCode="[$-409]mmmm\ d\,\ yyyy;@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Calibri (Body)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6" fontId="1" fillId="0" borderId="0" xfId="0" applyNumberFormat="1" applyFont="1"/>
    <xf numFmtId="166" fontId="0" fillId="0" borderId="0" xfId="0" applyNumberFormat="1"/>
    <xf numFmtId="0" fontId="3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165" fontId="2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67" fontId="1" fillId="0" borderId="0" xfId="0" applyNumberFormat="1" applyFont="1"/>
    <xf numFmtId="167" fontId="0" fillId="0" borderId="0" xfId="0" applyNumberFormat="1"/>
    <xf numFmtId="167" fontId="5" fillId="0" borderId="0" xfId="0" applyNumberFormat="1" applyFont="1"/>
    <xf numFmtId="0" fontId="2" fillId="0" borderId="0" xfId="0" applyFont="1"/>
    <xf numFmtId="168" fontId="0" fillId="0" borderId="0" xfId="0" applyNumberFormat="1"/>
    <xf numFmtId="0" fontId="7" fillId="0" borderId="0" xfId="0" applyFont="1"/>
    <xf numFmtId="169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 GDP,</a:t>
            </a:r>
            <a:r>
              <a:rPr lang="en-US" baseline="0"/>
              <a:t> quarterly-Japan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DATA!$A$2:$A$125</c:f>
              <c:numCache>
                <c:formatCode>yyyy\-mm\-dd</c:formatCode>
                <c:ptCount val="124"/>
                <c:pt idx="0">
                  <c:v>34335</c:v>
                </c:pt>
                <c:pt idx="1">
                  <c:v>34425</c:v>
                </c:pt>
                <c:pt idx="2">
                  <c:v>34516</c:v>
                </c:pt>
                <c:pt idx="3">
                  <c:v>34608</c:v>
                </c:pt>
                <c:pt idx="4">
                  <c:v>34700</c:v>
                </c:pt>
                <c:pt idx="5">
                  <c:v>34790</c:v>
                </c:pt>
                <c:pt idx="6">
                  <c:v>34881</c:v>
                </c:pt>
                <c:pt idx="7">
                  <c:v>34973</c:v>
                </c:pt>
                <c:pt idx="8">
                  <c:v>35065</c:v>
                </c:pt>
                <c:pt idx="9">
                  <c:v>35156</c:v>
                </c:pt>
                <c:pt idx="10">
                  <c:v>35247</c:v>
                </c:pt>
                <c:pt idx="11">
                  <c:v>35339</c:v>
                </c:pt>
                <c:pt idx="12">
                  <c:v>35431</c:v>
                </c:pt>
                <c:pt idx="13">
                  <c:v>35521</c:v>
                </c:pt>
                <c:pt idx="14">
                  <c:v>35612</c:v>
                </c:pt>
                <c:pt idx="15">
                  <c:v>35704</c:v>
                </c:pt>
                <c:pt idx="16">
                  <c:v>35796</c:v>
                </c:pt>
                <c:pt idx="17">
                  <c:v>35886</c:v>
                </c:pt>
                <c:pt idx="18">
                  <c:v>35977</c:v>
                </c:pt>
                <c:pt idx="19">
                  <c:v>36069</c:v>
                </c:pt>
                <c:pt idx="20">
                  <c:v>36161</c:v>
                </c:pt>
                <c:pt idx="21">
                  <c:v>36251</c:v>
                </c:pt>
                <c:pt idx="22">
                  <c:v>36342</c:v>
                </c:pt>
                <c:pt idx="23">
                  <c:v>36434</c:v>
                </c:pt>
                <c:pt idx="24">
                  <c:v>36526</c:v>
                </c:pt>
                <c:pt idx="25">
                  <c:v>36617</c:v>
                </c:pt>
                <c:pt idx="26">
                  <c:v>36708</c:v>
                </c:pt>
                <c:pt idx="27">
                  <c:v>36800</c:v>
                </c:pt>
                <c:pt idx="28">
                  <c:v>36892</c:v>
                </c:pt>
                <c:pt idx="29">
                  <c:v>36982</c:v>
                </c:pt>
                <c:pt idx="30">
                  <c:v>37073</c:v>
                </c:pt>
                <c:pt idx="31">
                  <c:v>37165</c:v>
                </c:pt>
                <c:pt idx="32">
                  <c:v>37257</c:v>
                </c:pt>
                <c:pt idx="33">
                  <c:v>37347</c:v>
                </c:pt>
                <c:pt idx="34">
                  <c:v>37438</c:v>
                </c:pt>
                <c:pt idx="35">
                  <c:v>37530</c:v>
                </c:pt>
                <c:pt idx="36">
                  <c:v>37622</c:v>
                </c:pt>
                <c:pt idx="37">
                  <c:v>37712</c:v>
                </c:pt>
                <c:pt idx="38">
                  <c:v>37803</c:v>
                </c:pt>
                <c:pt idx="39">
                  <c:v>37895</c:v>
                </c:pt>
                <c:pt idx="40">
                  <c:v>37987</c:v>
                </c:pt>
                <c:pt idx="41">
                  <c:v>38078</c:v>
                </c:pt>
                <c:pt idx="42">
                  <c:v>38169</c:v>
                </c:pt>
                <c:pt idx="43">
                  <c:v>38261</c:v>
                </c:pt>
                <c:pt idx="44">
                  <c:v>38353</c:v>
                </c:pt>
                <c:pt idx="45">
                  <c:v>38443</c:v>
                </c:pt>
                <c:pt idx="46">
                  <c:v>38534</c:v>
                </c:pt>
                <c:pt idx="47">
                  <c:v>38626</c:v>
                </c:pt>
                <c:pt idx="48">
                  <c:v>38718</c:v>
                </c:pt>
                <c:pt idx="49">
                  <c:v>38808</c:v>
                </c:pt>
                <c:pt idx="50">
                  <c:v>38899</c:v>
                </c:pt>
                <c:pt idx="51">
                  <c:v>38991</c:v>
                </c:pt>
                <c:pt idx="52">
                  <c:v>39083</c:v>
                </c:pt>
                <c:pt idx="53">
                  <c:v>39173</c:v>
                </c:pt>
                <c:pt idx="54">
                  <c:v>39264</c:v>
                </c:pt>
                <c:pt idx="55">
                  <c:v>39356</c:v>
                </c:pt>
                <c:pt idx="56">
                  <c:v>39448</c:v>
                </c:pt>
                <c:pt idx="57">
                  <c:v>39539</c:v>
                </c:pt>
                <c:pt idx="58">
                  <c:v>39630</c:v>
                </c:pt>
                <c:pt idx="59">
                  <c:v>39722</c:v>
                </c:pt>
                <c:pt idx="60">
                  <c:v>39814</c:v>
                </c:pt>
                <c:pt idx="61">
                  <c:v>39904</c:v>
                </c:pt>
                <c:pt idx="62">
                  <c:v>39995</c:v>
                </c:pt>
                <c:pt idx="63">
                  <c:v>40087</c:v>
                </c:pt>
                <c:pt idx="64">
                  <c:v>40179</c:v>
                </c:pt>
                <c:pt idx="65">
                  <c:v>40269</c:v>
                </c:pt>
                <c:pt idx="66">
                  <c:v>40360</c:v>
                </c:pt>
                <c:pt idx="67">
                  <c:v>40452</c:v>
                </c:pt>
                <c:pt idx="68">
                  <c:v>40544</c:v>
                </c:pt>
                <c:pt idx="69">
                  <c:v>40634</c:v>
                </c:pt>
                <c:pt idx="70">
                  <c:v>40725</c:v>
                </c:pt>
                <c:pt idx="71">
                  <c:v>40817</c:v>
                </c:pt>
                <c:pt idx="72">
                  <c:v>40909</c:v>
                </c:pt>
                <c:pt idx="73">
                  <c:v>41000</c:v>
                </c:pt>
                <c:pt idx="74">
                  <c:v>41091</c:v>
                </c:pt>
                <c:pt idx="75">
                  <c:v>41183</c:v>
                </c:pt>
                <c:pt idx="76">
                  <c:v>41275</c:v>
                </c:pt>
                <c:pt idx="77">
                  <c:v>41365</c:v>
                </c:pt>
                <c:pt idx="78">
                  <c:v>41456</c:v>
                </c:pt>
                <c:pt idx="79">
                  <c:v>41548</c:v>
                </c:pt>
                <c:pt idx="80">
                  <c:v>41640</c:v>
                </c:pt>
                <c:pt idx="81">
                  <c:v>41730</c:v>
                </c:pt>
                <c:pt idx="82">
                  <c:v>41821</c:v>
                </c:pt>
                <c:pt idx="83">
                  <c:v>41913</c:v>
                </c:pt>
                <c:pt idx="84">
                  <c:v>42005</c:v>
                </c:pt>
                <c:pt idx="85">
                  <c:v>42095</c:v>
                </c:pt>
                <c:pt idx="86">
                  <c:v>42186</c:v>
                </c:pt>
                <c:pt idx="87">
                  <c:v>42278</c:v>
                </c:pt>
                <c:pt idx="88">
                  <c:v>42370</c:v>
                </c:pt>
                <c:pt idx="89">
                  <c:v>42461</c:v>
                </c:pt>
                <c:pt idx="90">
                  <c:v>42552</c:v>
                </c:pt>
                <c:pt idx="91">
                  <c:v>42644</c:v>
                </c:pt>
                <c:pt idx="92">
                  <c:v>42736</c:v>
                </c:pt>
                <c:pt idx="93">
                  <c:v>42826</c:v>
                </c:pt>
                <c:pt idx="94">
                  <c:v>42917</c:v>
                </c:pt>
                <c:pt idx="95">
                  <c:v>43009</c:v>
                </c:pt>
                <c:pt idx="96">
                  <c:v>43101</c:v>
                </c:pt>
                <c:pt idx="97">
                  <c:v>43191</c:v>
                </c:pt>
                <c:pt idx="98">
                  <c:v>43282</c:v>
                </c:pt>
                <c:pt idx="99">
                  <c:v>43374</c:v>
                </c:pt>
                <c:pt idx="100">
                  <c:v>43466</c:v>
                </c:pt>
                <c:pt idx="101">
                  <c:v>43556</c:v>
                </c:pt>
                <c:pt idx="102">
                  <c:v>43647</c:v>
                </c:pt>
                <c:pt idx="103">
                  <c:v>43739</c:v>
                </c:pt>
                <c:pt idx="104">
                  <c:v>43831</c:v>
                </c:pt>
                <c:pt idx="105">
                  <c:v>43922</c:v>
                </c:pt>
                <c:pt idx="106">
                  <c:v>44013</c:v>
                </c:pt>
                <c:pt idx="107">
                  <c:v>44105</c:v>
                </c:pt>
                <c:pt idx="108">
                  <c:v>44197</c:v>
                </c:pt>
                <c:pt idx="109">
                  <c:v>44287</c:v>
                </c:pt>
                <c:pt idx="110">
                  <c:v>44378</c:v>
                </c:pt>
                <c:pt idx="111">
                  <c:v>44470</c:v>
                </c:pt>
                <c:pt idx="112">
                  <c:v>44562</c:v>
                </c:pt>
                <c:pt idx="113">
                  <c:v>44652</c:v>
                </c:pt>
                <c:pt idx="114">
                  <c:v>44743</c:v>
                </c:pt>
                <c:pt idx="115">
                  <c:v>44835</c:v>
                </c:pt>
                <c:pt idx="116">
                  <c:v>44927</c:v>
                </c:pt>
                <c:pt idx="117">
                  <c:v>45017</c:v>
                </c:pt>
                <c:pt idx="118">
                  <c:v>45108</c:v>
                </c:pt>
                <c:pt idx="119">
                  <c:v>45200</c:v>
                </c:pt>
                <c:pt idx="120">
                  <c:v>45292</c:v>
                </c:pt>
                <c:pt idx="121">
                  <c:v>45383</c:v>
                </c:pt>
                <c:pt idx="122">
                  <c:v>45474</c:v>
                </c:pt>
                <c:pt idx="123">
                  <c:v>45566</c:v>
                </c:pt>
              </c:numCache>
            </c:numRef>
          </c:cat>
          <c:val>
            <c:numRef>
              <c:f>DATA!$G$2:$G$125</c:f>
              <c:numCache>
                <c:formatCode>General</c:formatCode>
                <c:ptCount val="124"/>
                <c:pt idx="0">
                  <c:v>1104558.9660129505</c:v>
                </c:pt>
                <c:pt idx="1">
                  <c:v>1098600.9438373018</c:v>
                </c:pt>
                <c:pt idx="2">
                  <c:v>1111165.4723156479</c:v>
                </c:pt>
                <c:pt idx="3">
                  <c:v>1106885.9681729998</c:v>
                </c:pt>
                <c:pt idx="4">
                  <c:v>1118907.9149644978</c:v>
                </c:pt>
                <c:pt idx="5">
                  <c:v>1129620.6953150826</c:v>
                </c:pt>
                <c:pt idx="6">
                  <c:v>1142808.2026207438</c:v>
                </c:pt>
                <c:pt idx="7">
                  <c:v>1145706.3017095765</c:v>
                </c:pt>
                <c:pt idx="8">
                  <c:v>1155052.1722543258</c:v>
                </c:pt>
                <c:pt idx="9">
                  <c:v>1169744.2546171769</c:v>
                </c:pt>
                <c:pt idx="10">
                  <c:v>1171199.4824640106</c:v>
                </c:pt>
                <c:pt idx="11">
                  <c:v>1184314.9887837863</c:v>
                </c:pt>
                <c:pt idx="12">
                  <c:v>1187076.3731293357</c:v>
                </c:pt>
                <c:pt idx="13">
                  <c:v>1178485.2059878428</c:v>
                </c:pt>
                <c:pt idx="14">
                  <c:v>1180718.899939551</c:v>
                </c:pt>
                <c:pt idx="15">
                  <c:v>1181193.6787177918</c:v>
                </c:pt>
                <c:pt idx="16">
                  <c:v>1166595.4590263248</c:v>
                </c:pt>
                <c:pt idx="17">
                  <c:v>1161721.0952532643</c:v>
                </c:pt>
                <c:pt idx="18">
                  <c:v>1163735.2218420641</c:v>
                </c:pt>
                <c:pt idx="19">
                  <c:v>1173082.3597308947</c:v>
                </c:pt>
                <c:pt idx="20">
                  <c:v>1156834.9293384089</c:v>
                </c:pt>
                <c:pt idx="21">
                  <c:v>1161394.5957330884</c:v>
                </c:pt>
                <c:pt idx="22">
                  <c:v>1167534.0857400724</c:v>
                </c:pt>
                <c:pt idx="23">
                  <c:v>1167902.645242105</c:v>
                </c:pt>
                <c:pt idx="24">
                  <c:v>1188067.7530406672</c:v>
                </c:pt>
                <c:pt idx="25">
                  <c:v>1193396.776504596</c:v>
                </c:pt>
                <c:pt idx="26">
                  <c:v>1193734.2068675156</c:v>
                </c:pt>
                <c:pt idx="27">
                  <c:v>1205255.8695810402</c:v>
                </c:pt>
                <c:pt idx="28">
                  <c:v>1214243.6362124674</c:v>
                </c:pt>
                <c:pt idx="29">
                  <c:v>1205093.4911200115</c:v>
                </c:pt>
                <c:pt idx="30">
                  <c:v>1192103.2142377393</c:v>
                </c:pt>
                <c:pt idx="31">
                  <c:v>1187858.7996844728</c:v>
                </c:pt>
                <c:pt idx="32">
                  <c:v>1189970.0365138706</c:v>
                </c:pt>
                <c:pt idx="33">
                  <c:v>1199468.1467669588</c:v>
                </c:pt>
                <c:pt idx="34">
                  <c:v>1203448.1616602661</c:v>
                </c:pt>
                <c:pt idx="35">
                  <c:v>1206693.9882827175</c:v>
                </c:pt>
                <c:pt idx="36">
                  <c:v>1207441.0084124464</c:v>
                </c:pt>
                <c:pt idx="37">
                  <c:v>1215627.8135814741</c:v>
                </c:pt>
                <c:pt idx="38">
                  <c:v>1219412.4990675228</c:v>
                </c:pt>
                <c:pt idx="39">
                  <c:v>1232654.2645418784</c:v>
                </c:pt>
                <c:pt idx="40">
                  <c:v>1241965.2831242573</c:v>
                </c:pt>
                <c:pt idx="41">
                  <c:v>1241747.6959864725</c:v>
                </c:pt>
                <c:pt idx="42">
                  <c:v>1249485.7029310241</c:v>
                </c:pt>
                <c:pt idx="43">
                  <c:v>1247148.2451822674</c:v>
                </c:pt>
                <c:pt idx="44">
                  <c:v>1253443.6185118421</c:v>
                </c:pt>
                <c:pt idx="45">
                  <c:v>1263157.6525135916</c:v>
                </c:pt>
                <c:pt idx="46">
                  <c:v>1275999.1748837486</c:v>
                </c:pt>
                <c:pt idx="47">
                  <c:v>1278369.9796237792</c:v>
                </c:pt>
                <c:pt idx="48">
                  <c:v>1280273.2136050353</c:v>
                </c:pt>
                <c:pt idx="49">
                  <c:v>1282174.7049881825</c:v>
                </c:pt>
                <c:pt idx="50">
                  <c:v>1279641.0465331059</c:v>
                </c:pt>
                <c:pt idx="51">
                  <c:v>1297134.8306252407</c:v>
                </c:pt>
                <c:pt idx="52">
                  <c:v>1305515.3810214221</c:v>
                </c:pt>
                <c:pt idx="53">
                  <c:v>1305957.2088534315</c:v>
                </c:pt>
                <c:pt idx="54">
                  <c:v>1298897.9438759866</c:v>
                </c:pt>
                <c:pt idx="55">
                  <c:v>1304763.3707243484</c:v>
                </c:pt>
                <c:pt idx="56">
                  <c:v>1309513.2179409517</c:v>
                </c:pt>
                <c:pt idx="57">
                  <c:v>1301582.6539043223</c:v>
                </c:pt>
                <c:pt idx="58">
                  <c:v>1285446.8290004153</c:v>
                </c:pt>
                <c:pt idx="59">
                  <c:v>1253848.8517833585</c:v>
                </c:pt>
                <c:pt idx="60">
                  <c:v>1193233.922789546</c:v>
                </c:pt>
                <c:pt idx="61">
                  <c:v>1216824.10718973</c:v>
                </c:pt>
                <c:pt idx="62">
                  <c:v>1216297.3673039526</c:v>
                </c:pt>
                <c:pt idx="63">
                  <c:v>1231394.8413563366</c:v>
                </c:pt>
                <c:pt idx="64">
                  <c:v>1244080.1635678899</c:v>
                </c:pt>
                <c:pt idx="65">
                  <c:v>1259308.5701061634</c:v>
                </c:pt>
                <c:pt idx="66">
                  <c:v>1281969.3160372323</c:v>
                </c:pt>
                <c:pt idx="67">
                  <c:v>1271685.4524507774</c:v>
                </c:pt>
                <c:pt idx="68">
                  <c:v>1257984.2747452271</c:v>
                </c:pt>
                <c:pt idx="69">
                  <c:v>1247343.8122165529</c:v>
                </c:pt>
                <c:pt idx="70">
                  <c:v>1277478.1654322045</c:v>
                </c:pt>
                <c:pt idx="71">
                  <c:v>1276022.1454953153</c:v>
                </c:pt>
                <c:pt idx="72">
                  <c:v>1293682.3477077524</c:v>
                </c:pt>
                <c:pt idx="73">
                  <c:v>1281722.0255224374</c:v>
                </c:pt>
                <c:pt idx="74">
                  <c:v>1276748.8881196743</c:v>
                </c:pt>
                <c:pt idx="75">
                  <c:v>1276267.4557849762</c:v>
                </c:pt>
                <c:pt idx="76">
                  <c:v>1293376.600946987</c:v>
                </c:pt>
                <c:pt idx="77">
                  <c:v>1305218.109624234</c:v>
                </c:pt>
                <c:pt idx="78">
                  <c:v>1317773.7666939837</c:v>
                </c:pt>
                <c:pt idx="79">
                  <c:v>1316522.9772900322</c:v>
                </c:pt>
                <c:pt idx="80">
                  <c:v>1326533.9658529542</c:v>
                </c:pt>
                <c:pt idx="81">
                  <c:v>1302938.1576133848</c:v>
                </c:pt>
                <c:pt idx="82">
                  <c:v>1304179.5211456947</c:v>
                </c:pt>
                <c:pt idx="83">
                  <c:v>1310398.3785760647</c:v>
                </c:pt>
                <c:pt idx="84">
                  <c:v>1330074.1331393919</c:v>
                </c:pt>
                <c:pt idx="85">
                  <c:v>1332270.2820225542</c:v>
                </c:pt>
                <c:pt idx="86">
                  <c:v>1333797.9069002983</c:v>
                </c:pt>
                <c:pt idx="87">
                  <c:v>1331504.8061945576</c:v>
                </c:pt>
                <c:pt idx="88">
                  <c:v>1341312.148404649</c:v>
                </c:pt>
                <c:pt idx="89">
                  <c:v>1339146.7326155775</c:v>
                </c:pt>
                <c:pt idx="90">
                  <c:v>1342122.2981116755</c:v>
                </c:pt>
                <c:pt idx="91">
                  <c:v>1343926.8376722441</c:v>
                </c:pt>
                <c:pt idx="92">
                  <c:v>1354257.5929898729</c:v>
                </c:pt>
                <c:pt idx="93">
                  <c:v>1359598.8146406326</c:v>
                </c:pt>
                <c:pt idx="94">
                  <c:v>1371482.066463724</c:v>
                </c:pt>
                <c:pt idx="95">
                  <c:v>1372328.4938952047</c:v>
                </c:pt>
                <c:pt idx="96">
                  <c:v>1373306.7251116524</c:v>
                </c:pt>
                <c:pt idx="97">
                  <c:v>1378590.4410245025</c:v>
                </c:pt>
                <c:pt idx="98">
                  <c:v>1371706.8616209948</c:v>
                </c:pt>
                <c:pt idx="99">
                  <c:v>1368483.055102034</c:v>
                </c:pt>
                <c:pt idx="100">
                  <c:v>1371720.3271519018</c:v>
                </c:pt>
                <c:pt idx="101">
                  <c:v>1377799.6183147973</c:v>
                </c:pt>
                <c:pt idx="102">
                  <c:v>1380366.6237611382</c:v>
                </c:pt>
                <c:pt idx="103">
                  <c:v>1340372.0959288115</c:v>
                </c:pt>
                <c:pt idx="104">
                  <c:v>1347638.2548283129</c:v>
                </c:pt>
                <c:pt idx="105">
                  <c:v>1245118.5144194164</c:v>
                </c:pt>
                <c:pt idx="106">
                  <c:v>1312371.9501541003</c:v>
                </c:pt>
                <c:pt idx="107">
                  <c:v>1334951.6652726643</c:v>
                </c:pt>
                <c:pt idx="108">
                  <c:v>1338897.8579206739</c:v>
                </c:pt>
                <c:pt idx="109">
                  <c:v>1347596.7493094904</c:v>
                </c:pt>
                <c:pt idx="110">
                  <c:v>1341732.7482232128</c:v>
                </c:pt>
                <c:pt idx="111">
                  <c:v>1357290.8226418898</c:v>
                </c:pt>
                <c:pt idx="112">
                  <c:v>1348538.0691294181</c:v>
                </c:pt>
                <c:pt idx="113">
                  <c:v>1364399.1972026709</c:v>
                </c:pt>
                <c:pt idx="114">
                  <c:v>1358961.6574013694</c:v>
                </c:pt>
                <c:pt idx="115">
                  <c:v>1362894.2261004492</c:v>
                </c:pt>
                <c:pt idx="116">
                  <c:v>1379028.7836602735</c:v>
                </c:pt>
                <c:pt idx="117">
                  <c:v>1387682.3674979992</c:v>
                </c:pt>
                <c:pt idx="118">
                  <c:v>1374318.38252835</c:v>
                </c:pt>
                <c:pt idx="119">
                  <c:v>1374611.9311022931</c:v>
                </c:pt>
                <c:pt idx="120">
                  <c:v>1367492.7841167748</c:v>
                </c:pt>
                <c:pt idx="121">
                  <c:v>1378462.9145258463</c:v>
                </c:pt>
                <c:pt idx="122">
                  <c:v>1383357.2389682482</c:v>
                </c:pt>
                <c:pt idx="123">
                  <c:v>1391050.809660777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EF-7E43-9105-48B5AF938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187984"/>
        <c:axId val="915201552"/>
      </c:lineChart>
      <c:dateAx>
        <c:axId val="91518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201552"/>
        <c:crosses val="autoZero"/>
        <c:auto val="1"/>
        <c:lblOffset val="100"/>
        <c:baseTimeUnit val="months"/>
        <c:majorUnit val="1"/>
        <c:majorTimeUnit val="years"/>
      </c:dateAx>
      <c:valAx>
        <c:axId val="915201552"/>
        <c:scaling>
          <c:orientation val="minMax"/>
          <c:max val="1440000"/>
          <c:min val="108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GDP,</a:t>
                </a:r>
                <a:r>
                  <a:rPr lang="en-US" baseline="0"/>
                  <a:t> Billions of Yen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18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Cyclical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712666575799197E-2"/>
          <c:y val="8.3093084899041075E-2"/>
          <c:w val="0.92420023631976644"/>
          <c:h val="0.88790209790209795"/>
        </c:manualLayout>
      </c:layout>
      <c:lineChart>
        <c:grouping val="standard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Cyclical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DATA!$A$2:$A$125</c:f>
              <c:numCache>
                <c:formatCode>yyyy\-mm\-dd</c:formatCode>
                <c:ptCount val="124"/>
                <c:pt idx="0">
                  <c:v>34335</c:v>
                </c:pt>
                <c:pt idx="1">
                  <c:v>34425</c:v>
                </c:pt>
                <c:pt idx="2">
                  <c:v>34516</c:v>
                </c:pt>
                <c:pt idx="3">
                  <c:v>34608</c:v>
                </c:pt>
                <c:pt idx="4">
                  <c:v>34700</c:v>
                </c:pt>
                <c:pt idx="5">
                  <c:v>34790</c:v>
                </c:pt>
                <c:pt idx="6">
                  <c:v>34881</c:v>
                </c:pt>
                <c:pt idx="7">
                  <c:v>34973</c:v>
                </c:pt>
                <c:pt idx="8">
                  <c:v>35065</c:v>
                </c:pt>
                <c:pt idx="9">
                  <c:v>35156</c:v>
                </c:pt>
                <c:pt idx="10">
                  <c:v>35247</c:v>
                </c:pt>
                <c:pt idx="11">
                  <c:v>35339</c:v>
                </c:pt>
                <c:pt idx="12">
                  <c:v>35431</c:v>
                </c:pt>
                <c:pt idx="13">
                  <c:v>35521</c:v>
                </c:pt>
                <c:pt idx="14">
                  <c:v>35612</c:v>
                </c:pt>
                <c:pt idx="15">
                  <c:v>35704</c:v>
                </c:pt>
                <c:pt idx="16">
                  <c:v>35796</c:v>
                </c:pt>
                <c:pt idx="17">
                  <c:v>35886</c:v>
                </c:pt>
                <c:pt idx="18">
                  <c:v>35977</c:v>
                </c:pt>
                <c:pt idx="19">
                  <c:v>36069</c:v>
                </c:pt>
                <c:pt idx="20">
                  <c:v>36161</c:v>
                </c:pt>
                <c:pt idx="21">
                  <c:v>36251</c:v>
                </c:pt>
                <c:pt idx="22">
                  <c:v>36342</c:v>
                </c:pt>
                <c:pt idx="23">
                  <c:v>36434</c:v>
                </c:pt>
                <c:pt idx="24">
                  <c:v>36526</c:v>
                </c:pt>
                <c:pt idx="25">
                  <c:v>36617</c:v>
                </c:pt>
                <c:pt idx="26">
                  <c:v>36708</c:v>
                </c:pt>
                <c:pt idx="27">
                  <c:v>36800</c:v>
                </c:pt>
                <c:pt idx="28">
                  <c:v>36892</c:v>
                </c:pt>
                <c:pt idx="29">
                  <c:v>36982</c:v>
                </c:pt>
                <c:pt idx="30">
                  <c:v>37073</c:v>
                </c:pt>
                <c:pt idx="31">
                  <c:v>37165</c:v>
                </c:pt>
                <c:pt idx="32">
                  <c:v>37257</c:v>
                </c:pt>
                <c:pt idx="33">
                  <c:v>37347</c:v>
                </c:pt>
                <c:pt idx="34">
                  <c:v>37438</c:v>
                </c:pt>
                <c:pt idx="35">
                  <c:v>37530</c:v>
                </c:pt>
                <c:pt idx="36">
                  <c:v>37622</c:v>
                </c:pt>
                <c:pt idx="37">
                  <c:v>37712</c:v>
                </c:pt>
                <c:pt idx="38">
                  <c:v>37803</c:v>
                </c:pt>
                <c:pt idx="39">
                  <c:v>37895</c:v>
                </c:pt>
                <c:pt idx="40">
                  <c:v>37987</c:v>
                </c:pt>
                <c:pt idx="41">
                  <c:v>38078</c:v>
                </c:pt>
                <c:pt idx="42">
                  <c:v>38169</c:v>
                </c:pt>
                <c:pt idx="43">
                  <c:v>38261</c:v>
                </c:pt>
                <c:pt idx="44">
                  <c:v>38353</c:v>
                </c:pt>
                <c:pt idx="45">
                  <c:v>38443</c:v>
                </c:pt>
                <c:pt idx="46">
                  <c:v>38534</c:v>
                </c:pt>
                <c:pt idx="47">
                  <c:v>38626</c:v>
                </c:pt>
                <c:pt idx="48">
                  <c:v>38718</c:v>
                </c:pt>
                <c:pt idx="49">
                  <c:v>38808</c:v>
                </c:pt>
                <c:pt idx="50">
                  <c:v>38899</c:v>
                </c:pt>
                <c:pt idx="51">
                  <c:v>38991</c:v>
                </c:pt>
                <c:pt idx="52">
                  <c:v>39083</c:v>
                </c:pt>
                <c:pt idx="53">
                  <c:v>39173</c:v>
                </c:pt>
                <c:pt idx="54">
                  <c:v>39264</c:v>
                </c:pt>
                <c:pt idx="55">
                  <c:v>39356</c:v>
                </c:pt>
                <c:pt idx="56">
                  <c:v>39448</c:v>
                </c:pt>
                <c:pt idx="57">
                  <c:v>39539</c:v>
                </c:pt>
                <c:pt idx="58">
                  <c:v>39630</c:v>
                </c:pt>
                <c:pt idx="59">
                  <c:v>39722</c:v>
                </c:pt>
                <c:pt idx="60">
                  <c:v>39814</c:v>
                </c:pt>
                <c:pt idx="61">
                  <c:v>39904</c:v>
                </c:pt>
                <c:pt idx="62">
                  <c:v>39995</c:v>
                </c:pt>
                <c:pt idx="63">
                  <c:v>40087</c:v>
                </c:pt>
                <c:pt idx="64">
                  <c:v>40179</c:v>
                </c:pt>
                <c:pt idx="65">
                  <c:v>40269</c:v>
                </c:pt>
                <c:pt idx="66">
                  <c:v>40360</c:v>
                </c:pt>
                <c:pt idx="67">
                  <c:v>40452</c:v>
                </c:pt>
                <c:pt idx="68">
                  <c:v>40544</c:v>
                </c:pt>
                <c:pt idx="69">
                  <c:v>40634</c:v>
                </c:pt>
                <c:pt idx="70">
                  <c:v>40725</c:v>
                </c:pt>
                <c:pt idx="71">
                  <c:v>40817</c:v>
                </c:pt>
                <c:pt idx="72">
                  <c:v>40909</c:v>
                </c:pt>
                <c:pt idx="73">
                  <c:v>41000</c:v>
                </c:pt>
                <c:pt idx="74">
                  <c:v>41091</c:v>
                </c:pt>
                <c:pt idx="75">
                  <c:v>41183</c:v>
                </c:pt>
                <c:pt idx="76">
                  <c:v>41275</c:v>
                </c:pt>
                <c:pt idx="77">
                  <c:v>41365</c:v>
                </c:pt>
                <c:pt idx="78">
                  <c:v>41456</c:v>
                </c:pt>
                <c:pt idx="79">
                  <c:v>41548</c:v>
                </c:pt>
                <c:pt idx="80">
                  <c:v>41640</c:v>
                </c:pt>
                <c:pt idx="81">
                  <c:v>41730</c:v>
                </c:pt>
                <c:pt idx="82">
                  <c:v>41821</c:v>
                </c:pt>
                <c:pt idx="83">
                  <c:v>41913</c:v>
                </c:pt>
                <c:pt idx="84">
                  <c:v>42005</c:v>
                </c:pt>
                <c:pt idx="85">
                  <c:v>42095</c:v>
                </c:pt>
                <c:pt idx="86">
                  <c:v>42186</c:v>
                </c:pt>
                <c:pt idx="87">
                  <c:v>42278</c:v>
                </c:pt>
                <c:pt idx="88">
                  <c:v>42370</c:v>
                </c:pt>
                <c:pt idx="89">
                  <c:v>42461</c:v>
                </c:pt>
                <c:pt idx="90">
                  <c:v>42552</c:v>
                </c:pt>
                <c:pt idx="91">
                  <c:v>42644</c:v>
                </c:pt>
                <c:pt idx="92">
                  <c:v>42736</c:v>
                </c:pt>
                <c:pt idx="93">
                  <c:v>42826</c:v>
                </c:pt>
                <c:pt idx="94">
                  <c:v>42917</c:v>
                </c:pt>
                <c:pt idx="95">
                  <c:v>43009</c:v>
                </c:pt>
                <c:pt idx="96">
                  <c:v>43101</c:v>
                </c:pt>
                <c:pt idx="97">
                  <c:v>43191</c:v>
                </c:pt>
                <c:pt idx="98">
                  <c:v>43282</c:v>
                </c:pt>
                <c:pt idx="99">
                  <c:v>43374</c:v>
                </c:pt>
                <c:pt idx="100">
                  <c:v>43466</c:v>
                </c:pt>
                <c:pt idx="101">
                  <c:v>43556</c:v>
                </c:pt>
                <c:pt idx="102">
                  <c:v>43647</c:v>
                </c:pt>
                <c:pt idx="103">
                  <c:v>43739</c:v>
                </c:pt>
                <c:pt idx="104">
                  <c:v>43831</c:v>
                </c:pt>
                <c:pt idx="105">
                  <c:v>43922</c:v>
                </c:pt>
                <c:pt idx="106">
                  <c:v>44013</c:v>
                </c:pt>
                <c:pt idx="107">
                  <c:v>44105</c:v>
                </c:pt>
                <c:pt idx="108">
                  <c:v>44197</c:v>
                </c:pt>
                <c:pt idx="109">
                  <c:v>44287</c:v>
                </c:pt>
                <c:pt idx="110">
                  <c:v>44378</c:v>
                </c:pt>
                <c:pt idx="111">
                  <c:v>44470</c:v>
                </c:pt>
                <c:pt idx="112">
                  <c:v>44562</c:v>
                </c:pt>
                <c:pt idx="113">
                  <c:v>44652</c:v>
                </c:pt>
                <c:pt idx="114">
                  <c:v>44743</c:v>
                </c:pt>
                <c:pt idx="115">
                  <c:v>44835</c:v>
                </c:pt>
                <c:pt idx="116">
                  <c:v>44927</c:v>
                </c:pt>
                <c:pt idx="117">
                  <c:v>45017</c:v>
                </c:pt>
                <c:pt idx="118">
                  <c:v>45108</c:v>
                </c:pt>
                <c:pt idx="119">
                  <c:v>45200</c:v>
                </c:pt>
                <c:pt idx="120">
                  <c:v>45292</c:v>
                </c:pt>
                <c:pt idx="121">
                  <c:v>45383</c:v>
                </c:pt>
                <c:pt idx="122">
                  <c:v>45474</c:v>
                </c:pt>
                <c:pt idx="123">
                  <c:v>45566</c:v>
                </c:pt>
              </c:numCache>
            </c:numRef>
          </c:cat>
          <c:val>
            <c:numRef>
              <c:f>DATA!$J$2:$J$125</c:f>
              <c:numCache>
                <c:formatCode>0.0000%</c:formatCode>
                <c:ptCount val="124"/>
                <c:pt idx="0">
                  <c:v>-2.5751448461930337E-3</c:v>
                </c:pt>
                <c:pt idx="1">
                  <c:v>-6.6840245315136215E-3</c:v>
                </c:pt>
                <c:pt idx="2">
                  <c:v>-3.5035871190691736E-3</c:v>
                </c:pt>
                <c:pt idx="3">
                  <c:v>-6.9303793355430798E-3</c:v>
                </c:pt>
                <c:pt idx="4">
                  <c:v>-3.9744784535251654E-3</c:v>
                </c:pt>
                <c:pt idx="5">
                  <c:v>-1.544065855778598E-3</c:v>
                </c:pt>
                <c:pt idx="6">
                  <c:v>1.8312346572795235E-3</c:v>
                </c:pt>
                <c:pt idx="7">
                  <c:v>1.3240104332243874E-3</c:v>
                </c:pt>
                <c:pt idx="8">
                  <c:v>3.3179763620738711E-3</c:v>
                </c:pt>
                <c:pt idx="9">
                  <c:v>7.3595914717801136E-3</c:v>
                </c:pt>
                <c:pt idx="10">
                  <c:v>6.550178591824718E-3</c:v>
                </c:pt>
                <c:pt idx="11">
                  <c:v>1.0142620960729154E-2</c:v>
                </c:pt>
                <c:pt idx="12">
                  <c:v>1.0018614953070326E-2</c:v>
                </c:pt>
                <c:pt idx="13">
                  <c:v>5.8337965223458355E-3</c:v>
                </c:pt>
                <c:pt idx="14">
                  <c:v>5.7214504967353363E-3</c:v>
                </c:pt>
                <c:pt idx="15">
                  <c:v>5.0436606261081707E-3</c:v>
                </c:pt>
                <c:pt idx="16">
                  <c:v>-1.1440284202031137E-3</c:v>
                </c:pt>
                <c:pt idx="17">
                  <c:v>-3.7037157313779545E-3</c:v>
                </c:pt>
                <c:pt idx="18">
                  <c:v>-3.6663606497668866E-3</c:v>
                </c:pt>
                <c:pt idx="19">
                  <c:v>-8.9757801317258412E-4</c:v>
                </c:pt>
                <c:pt idx="20">
                  <c:v>-7.6654615715501251E-3</c:v>
                </c:pt>
                <c:pt idx="21">
                  <c:v>-6.6871315220895511E-3</c:v>
                </c:pt>
                <c:pt idx="22">
                  <c:v>-5.1560303330830948E-3</c:v>
                </c:pt>
                <c:pt idx="23">
                  <c:v>-5.8113166127080618E-3</c:v>
                </c:pt>
                <c:pt idx="24">
                  <c:v>7.953143201016033E-4</c:v>
                </c:pt>
                <c:pt idx="25">
                  <c:v>1.8772059957115061E-3</c:v>
                </c:pt>
                <c:pt idx="26">
                  <c:v>1.1056517539955735E-3</c:v>
                </c:pt>
                <c:pt idx="27">
                  <c:v>4.3504428665812611E-3</c:v>
                </c:pt>
                <c:pt idx="28">
                  <c:v>6.6170948876731472E-3</c:v>
                </c:pt>
                <c:pt idx="29">
                  <c:v>2.3356368042257714E-3</c:v>
                </c:pt>
                <c:pt idx="30">
                  <c:v>-3.4115077673915195E-3</c:v>
                </c:pt>
                <c:pt idx="31">
                  <c:v>-6.0536358551654956E-3</c:v>
                </c:pt>
                <c:pt idx="32">
                  <c:v>-6.4351368170045831E-3</c:v>
                </c:pt>
                <c:pt idx="33">
                  <c:v>-4.1977804065886914E-3</c:v>
                </c:pt>
                <c:pt idx="34">
                  <c:v>-4.0360660207356958E-3</c:v>
                </c:pt>
                <c:pt idx="35">
                  <c:v>-4.2012407088494186E-3</c:v>
                </c:pt>
                <c:pt idx="36">
                  <c:v>-5.3192276506468517E-3</c:v>
                </c:pt>
                <c:pt idx="37">
                  <c:v>-3.8143205910419198E-3</c:v>
                </c:pt>
                <c:pt idx="38">
                  <c:v>-3.925037301668155E-3</c:v>
                </c:pt>
                <c:pt idx="39">
                  <c:v>-7.1156686135420699E-4</c:v>
                </c:pt>
                <c:pt idx="40">
                  <c:v>1.0799432514474461E-3</c:v>
                </c:pt>
                <c:pt idx="41">
                  <c:v>-4.5491680226117381E-4</c:v>
                </c:pt>
                <c:pt idx="42">
                  <c:v>8.1885655408608926E-4</c:v>
                </c:pt>
                <c:pt idx="43">
                  <c:v>-1.3668980866103908E-3</c:v>
                </c:pt>
                <c:pt idx="44">
                  <c:v>-4.8461868460325519E-4</c:v>
                </c:pt>
                <c:pt idx="45">
                  <c:v>1.6491322718179546E-3</c:v>
                </c:pt>
                <c:pt idx="46">
                  <c:v>4.9260517571463325E-3</c:v>
                </c:pt>
                <c:pt idx="47">
                  <c:v>4.7360056247596205E-3</c:v>
                </c:pt>
                <c:pt idx="48">
                  <c:v>4.5191214110209543E-3</c:v>
                </c:pt>
                <c:pt idx="49">
                  <c:v>4.4444987679801429E-3</c:v>
                </c:pt>
                <c:pt idx="50">
                  <c:v>3.0178506128066829E-3</c:v>
                </c:pt>
                <c:pt idx="51">
                  <c:v>8.5037395869322907E-3</c:v>
                </c:pt>
                <c:pt idx="52">
                  <c:v>1.1049164363297947E-2</c:v>
                </c:pt>
                <c:pt idx="53">
                  <c:v>1.1102066754785866E-2</c:v>
                </c:pt>
                <c:pt idx="54">
                  <c:v>8.8023589346288844E-3</c:v>
                </c:pt>
                <c:pt idx="55">
                  <c:v>1.0945484909350434E-2</c:v>
                </c:pt>
                <c:pt idx="56">
                  <c:v>1.2820630208210559E-2</c:v>
                </c:pt>
                <c:pt idx="57">
                  <c:v>1.0561711716129629E-2</c:v>
                </c:pt>
                <c:pt idx="58">
                  <c:v>5.5690659844662704E-3</c:v>
                </c:pt>
                <c:pt idx="59">
                  <c:v>-4.8121308505360005E-3</c:v>
                </c:pt>
                <c:pt idx="60">
                  <c:v>-2.5947756649371101E-2</c:v>
                </c:pt>
                <c:pt idx="61">
                  <c:v>-1.7148840136380628E-2</c:v>
                </c:pt>
                <c:pt idx="62">
                  <c:v>-1.7154726480466564E-2</c:v>
                </c:pt>
                <c:pt idx="63">
                  <c:v>-1.1746128275315293E-2</c:v>
                </c:pt>
                <c:pt idx="64">
                  <c:v>-7.381019433503333E-3</c:v>
                </c:pt>
                <c:pt idx="65">
                  <c:v>-2.3186178059653173E-3</c:v>
                </c:pt>
                <c:pt idx="66">
                  <c:v>5.0761066183939718E-3</c:v>
                </c:pt>
                <c:pt idx="67">
                  <c:v>1.1056358733396721E-3</c:v>
                </c:pt>
                <c:pt idx="68">
                  <c:v>-4.1888084057353225E-3</c:v>
                </c:pt>
                <c:pt idx="69">
                  <c:v>-8.5815117844809663E-3</c:v>
                </c:pt>
                <c:pt idx="70">
                  <c:v>9.7472793878772279E-4</c:v>
                </c:pt>
                <c:pt idx="71">
                  <c:v>-4.2734002964817108E-4</c:v>
                </c:pt>
                <c:pt idx="72">
                  <c:v>4.5506499938321454E-3</c:v>
                </c:pt>
                <c:pt idx="73">
                  <c:v>-5.479275047273191E-4</c:v>
                </c:pt>
                <c:pt idx="74">
                  <c:v>-3.365890935259408E-3</c:v>
                </c:pt>
                <c:pt idx="75">
                  <c:v>-4.7152871140987429E-3</c:v>
                </c:pt>
                <c:pt idx="76">
                  <c:v>-1.6264742251337339E-4</c:v>
                </c:pt>
                <c:pt idx="77">
                  <c:v>2.5336006731562222E-3</c:v>
                </c:pt>
                <c:pt idx="78">
                  <c:v>5.4123314435834402E-3</c:v>
                </c:pt>
                <c:pt idx="79">
                  <c:v>3.7160900453603318E-3</c:v>
                </c:pt>
                <c:pt idx="80">
                  <c:v>5.7264225509792155E-3</c:v>
                </c:pt>
                <c:pt idx="81">
                  <c:v>-3.3368230585288927E-3</c:v>
                </c:pt>
                <c:pt idx="82">
                  <c:v>-4.1778811648951475E-3</c:v>
                </c:pt>
                <c:pt idx="83">
                  <c:v>-3.3472966237857449E-3</c:v>
                </c:pt>
                <c:pt idx="84">
                  <c:v>1.9168775844224939E-3</c:v>
                </c:pt>
                <c:pt idx="85">
                  <c:v>1.4620104615508112E-3</c:v>
                </c:pt>
                <c:pt idx="86">
                  <c:v>8.3401584670106388E-4</c:v>
                </c:pt>
                <c:pt idx="87">
                  <c:v>-9.8549395568259257E-4</c:v>
                </c:pt>
                <c:pt idx="88">
                  <c:v>1.1901513303911315E-3</c:v>
                </c:pt>
                <c:pt idx="89">
                  <c:v>-4.5438356809945901E-4</c:v>
                </c:pt>
                <c:pt idx="90">
                  <c:v>-3.5752373576514174E-4</c:v>
                </c:pt>
                <c:pt idx="91">
                  <c:v>-5.5784857407381594E-4</c:v>
                </c:pt>
                <c:pt idx="92">
                  <c:v>2.0748033027047086E-3</c:v>
                </c:pt>
                <c:pt idx="93">
                  <c:v>3.1901612006173252E-3</c:v>
                </c:pt>
                <c:pt idx="94">
                  <c:v>6.4809421868696759E-3</c:v>
                </c:pt>
                <c:pt idx="95">
                  <c:v>6.3705910749511929E-3</c:v>
                </c:pt>
                <c:pt idx="96">
                  <c:v>6.4126947798959222E-3</c:v>
                </c:pt>
                <c:pt idx="97">
                  <c:v>7.9206635181012786E-3</c:v>
                </c:pt>
                <c:pt idx="98">
                  <c:v>5.6872503041240918E-3</c:v>
                </c:pt>
                <c:pt idx="99">
                  <c:v>4.6939080729320182E-3</c:v>
                </c:pt>
                <c:pt idx="100">
                  <c:v>5.8207747220100359E-3</c:v>
                </c:pt>
                <c:pt idx="101">
                  <c:v>7.8953809340198688E-3</c:v>
                </c:pt>
                <c:pt idx="102">
                  <c:v>8.8888892177001466E-3</c:v>
                </c:pt>
                <c:pt idx="103">
                  <c:v>-3.6914064335746843E-3</c:v>
                </c:pt>
                <c:pt idx="104">
                  <c:v>-1.1839162347779819E-3</c:v>
                </c:pt>
                <c:pt idx="105">
                  <c:v>-3.5446845693372531E-2</c:v>
                </c:pt>
                <c:pt idx="106">
                  <c:v>-1.2590563406659427E-2</c:v>
                </c:pt>
                <c:pt idx="107">
                  <c:v>-5.2692987822462456E-3</c:v>
                </c:pt>
                <c:pt idx="108">
                  <c:v>-4.1719275744274142E-3</c:v>
                </c:pt>
                <c:pt idx="109">
                  <c:v>-1.6376827408111083E-3</c:v>
                </c:pt>
                <c:pt idx="110">
                  <c:v>-3.8975345325935606E-3</c:v>
                </c:pt>
                <c:pt idx="111">
                  <c:v>6.6288600186847901E-4</c:v>
                </c:pt>
                <c:pt idx="112">
                  <c:v>-2.6643082059196743E-3</c:v>
                </c:pt>
                <c:pt idx="113">
                  <c:v>1.8345431414221736E-3</c:v>
                </c:pt>
                <c:pt idx="114">
                  <c:v>-5.3021597447155955E-4</c:v>
                </c:pt>
                <c:pt idx="115">
                  <c:v>5.2749263527829271E-5</c:v>
                </c:pt>
                <c:pt idx="116">
                  <c:v>4.4604404456602964E-3</c:v>
                </c:pt>
                <c:pt idx="117">
                  <c:v>6.452123314152125E-3</c:v>
                </c:pt>
                <c:pt idx="118">
                  <c:v>1.5099345446074608E-3</c:v>
                </c:pt>
                <c:pt idx="119">
                  <c:v>8.5191255181005232E-4</c:v>
                </c:pt>
                <c:pt idx="120">
                  <c:v>-2.163056627249027E-3</c:v>
                </c:pt>
                <c:pt idx="121">
                  <c:v>5.3959611685705511E-4</c:v>
                </c:pt>
                <c:pt idx="122">
                  <c:v>1.3069719268861135E-3</c:v>
                </c:pt>
                <c:pt idx="123">
                  <c:v>2.941894877245943E-3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8B-F845-B5C3-9E78C421F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051855"/>
        <c:axId val="501043199"/>
      </c:lineChart>
      <c:dateAx>
        <c:axId val="501051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43199"/>
        <c:crosses val="autoZero"/>
        <c:auto val="1"/>
        <c:lblOffset val="100"/>
        <c:baseTimeUnit val="months"/>
        <c:majorUnit val="2"/>
        <c:majorTimeUnit val="years"/>
      </c:dateAx>
      <c:valAx>
        <c:axId val="501043199"/>
        <c:scaling>
          <c:orientation val="minMax"/>
          <c:max val="1.4999999999999999E-2"/>
          <c:min val="-3.7999999999999999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</a:t>
                </a:r>
                <a:r>
                  <a:rPr lang="en-US" baseline="0"/>
                  <a:t> Gap (% deviations from trend)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51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</a:t>
            </a:r>
            <a:r>
              <a:rPr lang="en-US" baseline="0"/>
              <a:t> Trend-Quarterly Real GDP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DATA!$H$1</c:f>
              <c:strCache>
                <c:ptCount val="1"/>
                <c:pt idx="0">
                  <c:v>Log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DATA!$A$2:$A$124</c:f>
              <c:numCache>
                <c:formatCode>yyyy\-mm\-dd</c:formatCode>
                <c:ptCount val="123"/>
                <c:pt idx="0">
                  <c:v>34335</c:v>
                </c:pt>
                <c:pt idx="1">
                  <c:v>34425</c:v>
                </c:pt>
                <c:pt idx="2">
                  <c:v>34516</c:v>
                </c:pt>
                <c:pt idx="3">
                  <c:v>34608</c:v>
                </c:pt>
                <c:pt idx="4">
                  <c:v>34700</c:v>
                </c:pt>
                <c:pt idx="5">
                  <c:v>34790</c:v>
                </c:pt>
                <c:pt idx="6">
                  <c:v>34881</c:v>
                </c:pt>
                <c:pt idx="7">
                  <c:v>34973</c:v>
                </c:pt>
                <c:pt idx="8">
                  <c:v>35065</c:v>
                </c:pt>
                <c:pt idx="9">
                  <c:v>35156</c:v>
                </c:pt>
                <c:pt idx="10">
                  <c:v>35247</c:v>
                </c:pt>
                <c:pt idx="11">
                  <c:v>35339</c:v>
                </c:pt>
                <c:pt idx="12">
                  <c:v>35431</c:v>
                </c:pt>
                <c:pt idx="13">
                  <c:v>35521</c:v>
                </c:pt>
                <c:pt idx="14">
                  <c:v>35612</c:v>
                </c:pt>
                <c:pt idx="15">
                  <c:v>35704</c:v>
                </c:pt>
                <c:pt idx="16">
                  <c:v>35796</c:v>
                </c:pt>
                <c:pt idx="17">
                  <c:v>35886</c:v>
                </c:pt>
                <c:pt idx="18">
                  <c:v>35977</c:v>
                </c:pt>
                <c:pt idx="19">
                  <c:v>36069</c:v>
                </c:pt>
                <c:pt idx="20">
                  <c:v>36161</c:v>
                </c:pt>
                <c:pt idx="21">
                  <c:v>36251</c:v>
                </c:pt>
                <c:pt idx="22">
                  <c:v>36342</c:v>
                </c:pt>
                <c:pt idx="23">
                  <c:v>36434</c:v>
                </c:pt>
                <c:pt idx="24">
                  <c:v>36526</c:v>
                </c:pt>
                <c:pt idx="25">
                  <c:v>36617</c:v>
                </c:pt>
                <c:pt idx="26">
                  <c:v>36708</c:v>
                </c:pt>
                <c:pt idx="27">
                  <c:v>36800</c:v>
                </c:pt>
                <c:pt idx="28">
                  <c:v>36892</c:v>
                </c:pt>
                <c:pt idx="29">
                  <c:v>36982</c:v>
                </c:pt>
                <c:pt idx="30">
                  <c:v>37073</c:v>
                </c:pt>
                <c:pt idx="31">
                  <c:v>37165</c:v>
                </c:pt>
                <c:pt idx="32">
                  <c:v>37257</c:v>
                </c:pt>
                <c:pt idx="33">
                  <c:v>37347</c:v>
                </c:pt>
                <c:pt idx="34">
                  <c:v>37438</c:v>
                </c:pt>
                <c:pt idx="35">
                  <c:v>37530</c:v>
                </c:pt>
                <c:pt idx="36">
                  <c:v>37622</c:v>
                </c:pt>
                <c:pt idx="37">
                  <c:v>37712</c:v>
                </c:pt>
                <c:pt idx="38">
                  <c:v>37803</c:v>
                </c:pt>
                <c:pt idx="39">
                  <c:v>37895</c:v>
                </c:pt>
                <c:pt idx="40">
                  <c:v>37987</c:v>
                </c:pt>
                <c:pt idx="41">
                  <c:v>38078</c:v>
                </c:pt>
                <c:pt idx="42">
                  <c:v>38169</c:v>
                </c:pt>
                <c:pt idx="43">
                  <c:v>38261</c:v>
                </c:pt>
                <c:pt idx="44">
                  <c:v>38353</c:v>
                </c:pt>
                <c:pt idx="45">
                  <c:v>38443</c:v>
                </c:pt>
                <c:pt idx="46">
                  <c:v>38534</c:v>
                </c:pt>
                <c:pt idx="47">
                  <c:v>38626</c:v>
                </c:pt>
                <c:pt idx="48">
                  <c:v>38718</c:v>
                </c:pt>
                <c:pt idx="49">
                  <c:v>38808</c:v>
                </c:pt>
                <c:pt idx="50">
                  <c:v>38899</c:v>
                </c:pt>
                <c:pt idx="51">
                  <c:v>38991</c:v>
                </c:pt>
                <c:pt idx="52">
                  <c:v>39083</c:v>
                </c:pt>
                <c:pt idx="53">
                  <c:v>39173</c:v>
                </c:pt>
                <c:pt idx="54">
                  <c:v>39264</c:v>
                </c:pt>
                <c:pt idx="55">
                  <c:v>39356</c:v>
                </c:pt>
                <c:pt idx="56">
                  <c:v>39448</c:v>
                </c:pt>
                <c:pt idx="57">
                  <c:v>39539</c:v>
                </c:pt>
                <c:pt idx="58">
                  <c:v>39630</c:v>
                </c:pt>
                <c:pt idx="59">
                  <c:v>39722</c:v>
                </c:pt>
                <c:pt idx="60">
                  <c:v>39814</c:v>
                </c:pt>
                <c:pt idx="61">
                  <c:v>39904</c:v>
                </c:pt>
                <c:pt idx="62">
                  <c:v>39995</c:v>
                </c:pt>
                <c:pt idx="63">
                  <c:v>40087</c:v>
                </c:pt>
                <c:pt idx="64">
                  <c:v>40179</c:v>
                </c:pt>
                <c:pt idx="65">
                  <c:v>40269</c:v>
                </c:pt>
                <c:pt idx="66">
                  <c:v>40360</c:v>
                </c:pt>
                <c:pt idx="67">
                  <c:v>40452</c:v>
                </c:pt>
                <c:pt idx="68">
                  <c:v>40544</c:v>
                </c:pt>
                <c:pt idx="69">
                  <c:v>40634</c:v>
                </c:pt>
                <c:pt idx="70">
                  <c:v>40725</c:v>
                </c:pt>
                <c:pt idx="71">
                  <c:v>40817</c:v>
                </c:pt>
                <c:pt idx="72">
                  <c:v>40909</c:v>
                </c:pt>
                <c:pt idx="73">
                  <c:v>41000</c:v>
                </c:pt>
                <c:pt idx="74">
                  <c:v>41091</c:v>
                </c:pt>
                <c:pt idx="75">
                  <c:v>41183</c:v>
                </c:pt>
                <c:pt idx="76">
                  <c:v>41275</c:v>
                </c:pt>
                <c:pt idx="77">
                  <c:v>41365</c:v>
                </c:pt>
                <c:pt idx="78">
                  <c:v>41456</c:v>
                </c:pt>
                <c:pt idx="79">
                  <c:v>41548</c:v>
                </c:pt>
                <c:pt idx="80">
                  <c:v>41640</c:v>
                </c:pt>
                <c:pt idx="81">
                  <c:v>41730</c:v>
                </c:pt>
                <c:pt idx="82">
                  <c:v>41821</c:v>
                </c:pt>
                <c:pt idx="83">
                  <c:v>41913</c:v>
                </c:pt>
                <c:pt idx="84">
                  <c:v>42005</c:v>
                </c:pt>
                <c:pt idx="85">
                  <c:v>42095</c:v>
                </c:pt>
                <c:pt idx="86">
                  <c:v>42186</c:v>
                </c:pt>
                <c:pt idx="87">
                  <c:v>42278</c:v>
                </c:pt>
                <c:pt idx="88">
                  <c:v>42370</c:v>
                </c:pt>
                <c:pt idx="89">
                  <c:v>42461</c:v>
                </c:pt>
                <c:pt idx="90">
                  <c:v>42552</c:v>
                </c:pt>
                <c:pt idx="91">
                  <c:v>42644</c:v>
                </c:pt>
                <c:pt idx="92">
                  <c:v>42736</c:v>
                </c:pt>
                <c:pt idx="93">
                  <c:v>42826</c:v>
                </c:pt>
                <c:pt idx="94">
                  <c:v>42917</c:v>
                </c:pt>
                <c:pt idx="95">
                  <c:v>43009</c:v>
                </c:pt>
                <c:pt idx="96">
                  <c:v>43101</c:v>
                </c:pt>
                <c:pt idx="97">
                  <c:v>43191</c:v>
                </c:pt>
                <c:pt idx="98">
                  <c:v>43282</c:v>
                </c:pt>
                <c:pt idx="99">
                  <c:v>43374</c:v>
                </c:pt>
                <c:pt idx="100">
                  <c:v>43466</c:v>
                </c:pt>
                <c:pt idx="101">
                  <c:v>43556</c:v>
                </c:pt>
                <c:pt idx="102">
                  <c:v>43647</c:v>
                </c:pt>
                <c:pt idx="103">
                  <c:v>43739</c:v>
                </c:pt>
                <c:pt idx="104">
                  <c:v>43831</c:v>
                </c:pt>
                <c:pt idx="105">
                  <c:v>43922</c:v>
                </c:pt>
                <c:pt idx="106">
                  <c:v>44013</c:v>
                </c:pt>
                <c:pt idx="107">
                  <c:v>44105</c:v>
                </c:pt>
                <c:pt idx="108">
                  <c:v>44197</c:v>
                </c:pt>
                <c:pt idx="109">
                  <c:v>44287</c:v>
                </c:pt>
                <c:pt idx="110">
                  <c:v>44378</c:v>
                </c:pt>
                <c:pt idx="111">
                  <c:v>44470</c:v>
                </c:pt>
                <c:pt idx="112">
                  <c:v>44562</c:v>
                </c:pt>
                <c:pt idx="113">
                  <c:v>44652</c:v>
                </c:pt>
                <c:pt idx="114">
                  <c:v>44743</c:v>
                </c:pt>
                <c:pt idx="115">
                  <c:v>44835</c:v>
                </c:pt>
                <c:pt idx="116">
                  <c:v>44927</c:v>
                </c:pt>
                <c:pt idx="117">
                  <c:v>45017</c:v>
                </c:pt>
                <c:pt idx="118">
                  <c:v>45108</c:v>
                </c:pt>
                <c:pt idx="119">
                  <c:v>45200</c:v>
                </c:pt>
                <c:pt idx="120">
                  <c:v>45292</c:v>
                </c:pt>
                <c:pt idx="121">
                  <c:v>45383</c:v>
                </c:pt>
                <c:pt idx="122">
                  <c:v>45474</c:v>
                </c:pt>
              </c:numCache>
            </c:numRef>
          </c:cat>
          <c:val>
            <c:numRef>
              <c:f>DATA!$H$2:$H$125</c:f>
              <c:numCache>
                <c:formatCode>General</c:formatCode>
                <c:ptCount val="124"/>
                <c:pt idx="0">
                  <c:v>6.0431889052961676</c:v>
                </c:pt>
                <c:pt idx="1">
                  <c:v>6.0408399677994451</c:v>
                </c:pt>
                <c:pt idx="2">
                  <c:v>6.0457787379349588</c:v>
                </c:pt>
                <c:pt idx="3">
                  <c:v>6.0441028819951637</c:v>
                </c:pt>
                <c:pt idx="4">
                  <c:v>6.0487943459846578</c:v>
                </c:pt>
                <c:pt idx="5">
                  <c:v>6.0529326403107824</c:v>
                </c:pt>
                <c:pt idx="6">
                  <c:v>6.0579733489141896</c:v>
                </c:pt>
                <c:pt idx="7">
                  <c:v>6.0590733018423641</c:v>
                </c:pt>
                <c:pt idx="8">
                  <c:v>6.0626016012068948</c:v>
                </c:pt>
                <c:pt idx="9">
                  <c:v>6.0680909207638249</c:v>
                </c:pt>
                <c:pt idx="10">
                  <c:v>6.0686308718059543</c:v>
                </c:pt>
                <c:pt idx="11">
                  <c:v>6.0734672257797895</c:v>
                </c:pt>
                <c:pt idx="12">
                  <c:v>6.074478661129513</c:v>
                </c:pt>
                <c:pt idx="13">
                  <c:v>6.0713241350163267</c:v>
                </c:pt>
                <c:pt idx="14">
                  <c:v>6.072146515110461</c:v>
                </c:pt>
                <c:pt idx="15">
                  <c:v>6.0723211141266615</c:v>
                </c:pt>
                <c:pt idx="16">
                  <c:v>6.0669202816056993</c:v>
                </c:pt>
                <c:pt idx="17">
                  <c:v>6.0651018756177235</c:v>
                </c:pt>
                <c:pt idx="18">
                  <c:v>6.0658541789619491</c:v>
                </c:pt>
                <c:pt idx="19">
                  <c:v>6.069328504119806</c:v>
                </c:pt>
                <c:pt idx="20">
                  <c:v>6.0632713931851638</c:v>
                </c:pt>
                <c:pt idx="21">
                  <c:v>6.064979800818401</c:v>
                </c:pt>
                <c:pt idx="22">
                  <c:v>6.0672695684953108</c:v>
                </c:pt>
                <c:pt idx="23">
                  <c:v>6.0674066420945998</c:v>
                </c:pt>
                <c:pt idx="24">
                  <c:v>6.0748412082652594</c:v>
                </c:pt>
                <c:pt idx="25">
                  <c:v>6.0767848604327002</c:v>
                </c:pt>
                <c:pt idx="26">
                  <c:v>6.0769076389032906</c:v>
                </c:pt>
                <c:pt idx="27">
                  <c:v>6.0810792551689001</c:v>
                </c:pt>
                <c:pt idx="28">
                  <c:v>6.0843058360363225</c:v>
                </c:pt>
                <c:pt idx="29">
                  <c:v>6.0810207407718915</c:v>
                </c:pt>
                <c:pt idx="30">
                  <c:v>6.0763138589556611</c:v>
                </c:pt>
                <c:pt idx="31">
                  <c:v>6.0747648192963331</c:v>
                </c:pt>
                <c:pt idx="32">
                  <c:v>6.0755360259803322</c:v>
                </c:pt>
                <c:pt idx="33">
                  <c:v>6.0789887192759018</c:v>
                </c:pt>
                <c:pt idx="34">
                  <c:v>6.0804273878476378</c:v>
                </c:pt>
                <c:pt idx="35">
                  <c:v>6.0815971490947938</c:v>
                </c:pt>
                <c:pt idx="36">
                  <c:v>6.0818659217450479</c:v>
                </c:pt>
                <c:pt idx="37">
                  <c:v>6.0848006281854374</c:v>
                </c:pt>
                <c:pt idx="38">
                  <c:v>6.0861506422589979</c:v>
                </c:pt>
                <c:pt idx="39">
                  <c:v>6.0908412825512022</c:v>
                </c:pt>
                <c:pt idx="40">
                  <c:v>6.0941094560995852</c:v>
                </c:pt>
                <c:pt idx="41">
                  <c:v>6.0940333628518477</c:v>
                </c:pt>
                <c:pt idx="42">
                  <c:v>6.0967312911357885</c:v>
                </c:pt>
                <c:pt idx="43">
                  <c:v>6.095918079972539</c:v>
                </c:pt>
                <c:pt idx="44">
                  <c:v>6.0981048036154242</c:v>
                </c:pt>
                <c:pt idx="45">
                  <c:v>6.1014575574784278</c:v>
                </c:pt>
                <c:pt idx="46">
                  <c:v>6.1058503935516395</c:v>
                </c:pt>
                <c:pt idx="47">
                  <c:v>6.1066565634117023</c:v>
                </c:pt>
                <c:pt idx="48">
                  <c:v>6.1073026591005934</c:v>
                </c:pt>
                <c:pt idx="49">
                  <c:v>6.1079472047794914</c:v>
                </c:pt>
                <c:pt idx="50">
                  <c:v>6.1070881623255762</c:v>
                </c:pt>
                <c:pt idx="51">
                  <c:v>6.1129851211520192</c:v>
                </c:pt>
                <c:pt idx="52">
                  <c:v>6.1157819928601347</c:v>
                </c:pt>
                <c:pt idx="53">
                  <c:v>6.1159289470284213</c:v>
                </c:pt>
                <c:pt idx="54">
                  <c:v>6.1135750293234565</c:v>
                </c:pt>
                <c:pt idx="55">
                  <c:v>6.1155317560368294</c:v>
                </c:pt>
                <c:pt idx="56">
                  <c:v>6.1171098864572002</c:v>
                </c:pt>
                <c:pt idx="57">
                  <c:v>6.114471752156958</c:v>
                </c:pt>
                <c:pt idx="58">
                  <c:v>6.1090541172688102</c:v>
                </c:pt>
                <c:pt idx="59">
                  <c:v>6.0982451865801721</c:v>
                </c:pt>
                <c:pt idx="60">
                  <c:v>6.0767255915479632</c:v>
                </c:pt>
                <c:pt idx="61">
                  <c:v>6.0852278051834725</c:v>
                </c:pt>
                <c:pt idx="62">
                  <c:v>6.0850397667055223</c:v>
                </c:pt>
                <c:pt idx="63">
                  <c:v>6.090397329883066</c:v>
                </c:pt>
                <c:pt idx="64">
                  <c:v>6.0948483654621173</c:v>
                </c:pt>
                <c:pt idx="65">
                  <c:v>6.10013215892016</c:v>
                </c:pt>
                <c:pt idx="66">
                  <c:v>6.1078776304595621</c:v>
                </c:pt>
                <c:pt idx="67">
                  <c:v>6.104379703169232</c:v>
                </c:pt>
                <c:pt idx="68">
                  <c:v>6.0996752123063418</c:v>
                </c:pt>
                <c:pt idx="69">
                  <c:v>6.0959861769494408</c:v>
                </c:pt>
                <c:pt idx="70">
                  <c:v>6.1063534859391604</c:v>
                </c:pt>
                <c:pt idx="71">
                  <c:v>6.1058582116758613</c:v>
                </c:pt>
                <c:pt idx="72">
                  <c:v>6.1118276522422077</c:v>
                </c:pt>
                <c:pt idx="73">
                  <c:v>6.1077938474357678</c:v>
                </c:pt>
                <c:pt idx="74">
                  <c:v>6.1061054883143795</c:v>
                </c:pt>
                <c:pt idx="75">
                  <c:v>6.1059416950747893</c:v>
                </c:pt>
                <c:pt idx="76">
                  <c:v>6.1117249996669756</c:v>
                </c:pt>
                <c:pt idx="77">
                  <c:v>6.1156830909013964</c:v>
                </c:pt>
                <c:pt idx="78">
                  <c:v>6.1198408576708845</c:v>
                </c:pt>
                <c:pt idx="79">
                  <c:v>6.1194284432546118</c:v>
                </c:pt>
                <c:pt idx="80">
                  <c:v>6.1227183745548031</c:v>
                </c:pt>
                <c:pt idx="81">
                  <c:v>6.1149238029385007</c:v>
                </c:pt>
                <c:pt idx="82">
                  <c:v>6.1153373764240797</c:v>
                </c:pt>
                <c:pt idx="83">
                  <c:v>6.1174033470415692</c:v>
                </c:pt>
                <c:pt idx="84">
                  <c:v>6.1238758475205586</c:v>
                </c:pt>
                <c:pt idx="85">
                  <c:v>6.1245923405124456</c:v>
                </c:pt>
                <c:pt idx="86">
                  <c:v>6.1250900315543966</c:v>
                </c:pt>
                <c:pt idx="87">
                  <c:v>6.1243427384054581</c:v>
                </c:pt>
                <c:pt idx="88">
                  <c:v>6.1275298580561284</c:v>
                </c:pt>
                <c:pt idx="89">
                  <c:v>6.126828166014171</c:v>
                </c:pt>
                <c:pt idx="90">
                  <c:v>6.1277920918203428</c:v>
                </c:pt>
                <c:pt idx="91">
                  <c:v>6.128375626708813</c:v>
                </c:pt>
                <c:pt idx="92">
                  <c:v>6.1317012792486132</c:v>
                </c:pt>
                <c:pt idx="93">
                  <c:v>6.1334107772737338</c:v>
                </c:pt>
                <c:pt idx="94">
                  <c:v>6.1371901331313854</c:v>
                </c:pt>
                <c:pt idx="95">
                  <c:v>6.1374580807658141</c:v>
                </c:pt>
                <c:pt idx="96">
                  <c:v>6.1377675468116779</c:v>
                </c:pt>
                <c:pt idx="97">
                  <c:v>6.1394352628244206</c:v>
                </c:pt>
                <c:pt idx="98">
                  <c:v>6.1372613110918826</c:v>
                </c:pt>
                <c:pt idx="99">
                  <c:v>6.1362394242370133</c:v>
                </c:pt>
                <c:pt idx="100">
                  <c:v>6.1372655743767206</c:v>
                </c:pt>
                <c:pt idx="101">
                  <c:v>6.1391860601056338</c:v>
                </c:pt>
                <c:pt idx="102">
                  <c:v>6.1399944498286612</c:v>
                </c:pt>
                <c:pt idx="103">
                  <c:v>6.1272253780484309</c:v>
                </c:pt>
                <c:pt idx="104">
                  <c:v>6.1295733306149858</c:v>
                </c:pt>
                <c:pt idx="105">
                  <c:v>6.0952106909568577</c:v>
                </c:pt>
                <c:pt idx="106">
                  <c:v>6.1180569394650952</c:v>
                </c:pt>
                <c:pt idx="107">
                  <c:v>6.1254655414418808</c:v>
                </c:pt>
                <c:pt idx="108">
                  <c:v>6.1267474467405822</c:v>
                </c:pt>
                <c:pt idx="109">
                  <c:v>6.1295599546995145</c:v>
                </c:pt>
                <c:pt idx="110">
                  <c:v>6.127666019908669</c:v>
                </c:pt>
                <c:pt idx="111">
                  <c:v>6.1326729126091637</c:v>
                </c:pt>
                <c:pt idx="112">
                  <c:v>6.1298632110628954</c:v>
                </c:pt>
                <c:pt idx="113">
                  <c:v>6.1349414552013863</c:v>
                </c:pt>
                <c:pt idx="114">
                  <c:v>6.1332072034477854</c:v>
                </c:pt>
                <c:pt idx="115">
                  <c:v>6.1344621516501991</c:v>
                </c:pt>
                <c:pt idx="116">
                  <c:v>6.1395733310448604</c:v>
                </c:pt>
                <c:pt idx="117">
                  <c:v>6.1422900699882774</c:v>
                </c:pt>
                <c:pt idx="118">
                  <c:v>6.1380873555456139</c:v>
                </c:pt>
                <c:pt idx="119">
                  <c:v>6.1381801090982862</c:v>
                </c:pt>
                <c:pt idx="120">
                  <c:v>6.1359250433590073</c:v>
                </c:pt>
                <c:pt idx="121">
                  <c:v>6.1393950865582703</c:v>
                </c:pt>
                <c:pt idx="122">
                  <c:v>6.1409343470495079</c:v>
                </c:pt>
                <c:pt idx="123">
                  <c:v>6.1433429933653745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D4-5842-8F83-30E3D5724006}"/>
            </c:ext>
          </c:extLst>
        </c:ser>
        <c:ser>
          <c:idx val="1"/>
          <c:order val="1"/>
          <c:tx>
            <c:strRef>
              <c:f>DATA!$I$1</c:f>
              <c:strCache>
                <c:ptCount val="1"/>
                <c:pt idx="0">
                  <c:v>HP(logGDP)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DATA!$A$2:$A$124</c:f>
              <c:numCache>
                <c:formatCode>yyyy\-mm\-dd</c:formatCode>
                <c:ptCount val="123"/>
                <c:pt idx="0">
                  <c:v>34335</c:v>
                </c:pt>
                <c:pt idx="1">
                  <c:v>34425</c:v>
                </c:pt>
                <c:pt idx="2">
                  <c:v>34516</c:v>
                </c:pt>
                <c:pt idx="3">
                  <c:v>34608</c:v>
                </c:pt>
                <c:pt idx="4">
                  <c:v>34700</c:v>
                </c:pt>
                <c:pt idx="5">
                  <c:v>34790</c:v>
                </c:pt>
                <c:pt idx="6">
                  <c:v>34881</c:v>
                </c:pt>
                <c:pt idx="7">
                  <c:v>34973</c:v>
                </c:pt>
                <c:pt idx="8">
                  <c:v>35065</c:v>
                </c:pt>
                <c:pt idx="9">
                  <c:v>35156</c:v>
                </c:pt>
                <c:pt idx="10">
                  <c:v>35247</c:v>
                </c:pt>
                <c:pt idx="11">
                  <c:v>35339</c:v>
                </c:pt>
                <c:pt idx="12">
                  <c:v>35431</c:v>
                </c:pt>
                <c:pt idx="13">
                  <c:v>35521</c:v>
                </c:pt>
                <c:pt idx="14">
                  <c:v>35612</c:v>
                </c:pt>
                <c:pt idx="15">
                  <c:v>35704</c:v>
                </c:pt>
                <c:pt idx="16">
                  <c:v>35796</c:v>
                </c:pt>
                <c:pt idx="17">
                  <c:v>35886</c:v>
                </c:pt>
                <c:pt idx="18">
                  <c:v>35977</c:v>
                </c:pt>
                <c:pt idx="19">
                  <c:v>36069</c:v>
                </c:pt>
                <c:pt idx="20">
                  <c:v>36161</c:v>
                </c:pt>
                <c:pt idx="21">
                  <c:v>36251</c:v>
                </c:pt>
                <c:pt idx="22">
                  <c:v>36342</c:v>
                </c:pt>
                <c:pt idx="23">
                  <c:v>36434</c:v>
                </c:pt>
                <c:pt idx="24">
                  <c:v>36526</c:v>
                </c:pt>
                <c:pt idx="25">
                  <c:v>36617</c:v>
                </c:pt>
                <c:pt idx="26">
                  <c:v>36708</c:v>
                </c:pt>
                <c:pt idx="27">
                  <c:v>36800</c:v>
                </c:pt>
                <c:pt idx="28">
                  <c:v>36892</c:v>
                </c:pt>
                <c:pt idx="29">
                  <c:v>36982</c:v>
                </c:pt>
                <c:pt idx="30">
                  <c:v>37073</c:v>
                </c:pt>
                <c:pt idx="31">
                  <c:v>37165</c:v>
                </c:pt>
                <c:pt idx="32">
                  <c:v>37257</c:v>
                </c:pt>
                <c:pt idx="33">
                  <c:v>37347</c:v>
                </c:pt>
                <c:pt idx="34">
                  <c:v>37438</c:v>
                </c:pt>
                <c:pt idx="35">
                  <c:v>37530</c:v>
                </c:pt>
                <c:pt idx="36">
                  <c:v>37622</c:v>
                </c:pt>
                <c:pt idx="37">
                  <c:v>37712</c:v>
                </c:pt>
                <c:pt idx="38">
                  <c:v>37803</c:v>
                </c:pt>
                <c:pt idx="39">
                  <c:v>37895</c:v>
                </c:pt>
                <c:pt idx="40">
                  <c:v>37987</c:v>
                </c:pt>
                <c:pt idx="41">
                  <c:v>38078</c:v>
                </c:pt>
                <c:pt idx="42">
                  <c:v>38169</c:v>
                </c:pt>
                <c:pt idx="43">
                  <c:v>38261</c:v>
                </c:pt>
                <c:pt idx="44">
                  <c:v>38353</c:v>
                </c:pt>
                <c:pt idx="45">
                  <c:v>38443</c:v>
                </c:pt>
                <c:pt idx="46">
                  <c:v>38534</c:v>
                </c:pt>
                <c:pt idx="47">
                  <c:v>38626</c:v>
                </c:pt>
                <c:pt idx="48">
                  <c:v>38718</c:v>
                </c:pt>
                <c:pt idx="49">
                  <c:v>38808</c:v>
                </c:pt>
                <c:pt idx="50">
                  <c:v>38899</c:v>
                </c:pt>
                <c:pt idx="51">
                  <c:v>38991</c:v>
                </c:pt>
                <c:pt idx="52">
                  <c:v>39083</c:v>
                </c:pt>
                <c:pt idx="53">
                  <c:v>39173</c:v>
                </c:pt>
                <c:pt idx="54">
                  <c:v>39264</c:v>
                </c:pt>
                <c:pt idx="55">
                  <c:v>39356</c:v>
                </c:pt>
                <c:pt idx="56">
                  <c:v>39448</c:v>
                </c:pt>
                <c:pt idx="57">
                  <c:v>39539</c:v>
                </c:pt>
                <c:pt idx="58">
                  <c:v>39630</c:v>
                </c:pt>
                <c:pt idx="59">
                  <c:v>39722</c:v>
                </c:pt>
                <c:pt idx="60">
                  <c:v>39814</c:v>
                </c:pt>
                <c:pt idx="61">
                  <c:v>39904</c:v>
                </c:pt>
                <c:pt idx="62">
                  <c:v>39995</c:v>
                </c:pt>
                <c:pt idx="63">
                  <c:v>40087</c:v>
                </c:pt>
                <c:pt idx="64">
                  <c:v>40179</c:v>
                </c:pt>
                <c:pt idx="65">
                  <c:v>40269</c:v>
                </c:pt>
                <c:pt idx="66">
                  <c:v>40360</c:v>
                </c:pt>
                <c:pt idx="67">
                  <c:v>40452</c:v>
                </c:pt>
                <c:pt idx="68">
                  <c:v>40544</c:v>
                </c:pt>
                <c:pt idx="69">
                  <c:v>40634</c:v>
                </c:pt>
                <c:pt idx="70">
                  <c:v>40725</c:v>
                </c:pt>
                <c:pt idx="71">
                  <c:v>40817</c:v>
                </c:pt>
                <c:pt idx="72">
                  <c:v>40909</c:v>
                </c:pt>
                <c:pt idx="73">
                  <c:v>41000</c:v>
                </c:pt>
                <c:pt idx="74">
                  <c:v>41091</c:v>
                </c:pt>
                <c:pt idx="75">
                  <c:v>41183</c:v>
                </c:pt>
                <c:pt idx="76">
                  <c:v>41275</c:v>
                </c:pt>
                <c:pt idx="77">
                  <c:v>41365</c:v>
                </c:pt>
                <c:pt idx="78">
                  <c:v>41456</c:v>
                </c:pt>
                <c:pt idx="79">
                  <c:v>41548</c:v>
                </c:pt>
                <c:pt idx="80">
                  <c:v>41640</c:v>
                </c:pt>
                <c:pt idx="81">
                  <c:v>41730</c:v>
                </c:pt>
                <c:pt idx="82">
                  <c:v>41821</c:v>
                </c:pt>
                <c:pt idx="83">
                  <c:v>41913</c:v>
                </c:pt>
                <c:pt idx="84">
                  <c:v>42005</c:v>
                </c:pt>
                <c:pt idx="85">
                  <c:v>42095</c:v>
                </c:pt>
                <c:pt idx="86">
                  <c:v>42186</c:v>
                </c:pt>
                <c:pt idx="87">
                  <c:v>42278</c:v>
                </c:pt>
                <c:pt idx="88">
                  <c:v>42370</c:v>
                </c:pt>
                <c:pt idx="89">
                  <c:v>42461</c:v>
                </c:pt>
                <c:pt idx="90">
                  <c:v>42552</c:v>
                </c:pt>
                <c:pt idx="91">
                  <c:v>42644</c:v>
                </c:pt>
                <c:pt idx="92">
                  <c:v>42736</c:v>
                </c:pt>
                <c:pt idx="93">
                  <c:v>42826</c:v>
                </c:pt>
                <c:pt idx="94">
                  <c:v>42917</c:v>
                </c:pt>
                <c:pt idx="95">
                  <c:v>43009</c:v>
                </c:pt>
                <c:pt idx="96">
                  <c:v>43101</c:v>
                </c:pt>
                <c:pt idx="97">
                  <c:v>43191</c:v>
                </c:pt>
                <c:pt idx="98">
                  <c:v>43282</c:v>
                </c:pt>
                <c:pt idx="99">
                  <c:v>43374</c:v>
                </c:pt>
                <c:pt idx="100">
                  <c:v>43466</c:v>
                </c:pt>
                <c:pt idx="101">
                  <c:v>43556</c:v>
                </c:pt>
                <c:pt idx="102">
                  <c:v>43647</c:v>
                </c:pt>
                <c:pt idx="103">
                  <c:v>43739</c:v>
                </c:pt>
                <c:pt idx="104">
                  <c:v>43831</c:v>
                </c:pt>
                <c:pt idx="105">
                  <c:v>43922</c:v>
                </c:pt>
                <c:pt idx="106">
                  <c:v>44013</c:v>
                </c:pt>
                <c:pt idx="107">
                  <c:v>44105</c:v>
                </c:pt>
                <c:pt idx="108">
                  <c:v>44197</c:v>
                </c:pt>
                <c:pt idx="109">
                  <c:v>44287</c:v>
                </c:pt>
                <c:pt idx="110">
                  <c:v>44378</c:v>
                </c:pt>
                <c:pt idx="111">
                  <c:v>44470</c:v>
                </c:pt>
                <c:pt idx="112">
                  <c:v>44562</c:v>
                </c:pt>
                <c:pt idx="113">
                  <c:v>44652</c:v>
                </c:pt>
                <c:pt idx="114">
                  <c:v>44743</c:v>
                </c:pt>
                <c:pt idx="115">
                  <c:v>44835</c:v>
                </c:pt>
                <c:pt idx="116">
                  <c:v>44927</c:v>
                </c:pt>
                <c:pt idx="117">
                  <c:v>45017</c:v>
                </c:pt>
                <c:pt idx="118">
                  <c:v>45108</c:v>
                </c:pt>
                <c:pt idx="119">
                  <c:v>45200</c:v>
                </c:pt>
                <c:pt idx="120">
                  <c:v>45292</c:v>
                </c:pt>
                <c:pt idx="121">
                  <c:v>45383</c:v>
                </c:pt>
                <c:pt idx="122">
                  <c:v>45474</c:v>
                </c:pt>
              </c:numCache>
            </c:numRef>
          </c:cat>
          <c:val>
            <c:numRef>
              <c:f>DATA!$I$2:$I$125</c:f>
              <c:numCache>
                <c:formatCode>General</c:formatCode>
                <c:ptCount val="124"/>
                <c:pt idx="0">
                  <c:v>6.0457640501423597</c:v>
                </c:pt>
                <c:pt idx="1">
                  <c:v>6.0475239923309587</c:v>
                </c:pt>
                <c:pt idx="2">
                  <c:v>6.049282325054028</c:v>
                </c:pt>
                <c:pt idx="3">
                  <c:v>6.0510332613307067</c:v>
                </c:pt>
                <c:pt idx="4">
                  <c:v>6.052768824438183</c:v>
                </c:pt>
                <c:pt idx="5">
                  <c:v>6.054476706166561</c:v>
                </c:pt>
                <c:pt idx="6">
                  <c:v>6.0561421142569101</c:v>
                </c:pt>
                <c:pt idx="7">
                  <c:v>6.0577492914091398</c:v>
                </c:pt>
                <c:pt idx="8">
                  <c:v>6.059283624844821</c:v>
                </c:pt>
                <c:pt idx="9">
                  <c:v>6.0607313292920448</c:v>
                </c:pt>
                <c:pt idx="10">
                  <c:v>6.0620806932141296</c:v>
                </c:pt>
                <c:pt idx="11">
                  <c:v>6.0633246048190603</c:v>
                </c:pt>
                <c:pt idx="12">
                  <c:v>6.0644600461764426</c:v>
                </c:pt>
                <c:pt idx="13">
                  <c:v>6.0654903384939809</c:v>
                </c:pt>
                <c:pt idx="14">
                  <c:v>6.0664250646137257</c:v>
                </c:pt>
                <c:pt idx="15">
                  <c:v>6.0672774535005534</c:v>
                </c:pt>
                <c:pt idx="16">
                  <c:v>6.0680643100259024</c:v>
                </c:pt>
                <c:pt idx="17">
                  <c:v>6.0688055913491015</c:v>
                </c:pt>
                <c:pt idx="18">
                  <c:v>6.069520539611716</c:v>
                </c:pt>
                <c:pt idx="19">
                  <c:v>6.0702260821329785</c:v>
                </c:pt>
                <c:pt idx="20">
                  <c:v>6.070936854756714</c:v>
                </c:pt>
                <c:pt idx="21">
                  <c:v>6.0716669323404906</c:v>
                </c:pt>
                <c:pt idx="22">
                  <c:v>6.0724255988283939</c:v>
                </c:pt>
                <c:pt idx="23">
                  <c:v>6.0732179587073079</c:v>
                </c:pt>
                <c:pt idx="24">
                  <c:v>6.0740458939451578</c:v>
                </c:pt>
                <c:pt idx="25">
                  <c:v>6.0749076544369887</c:v>
                </c:pt>
                <c:pt idx="26">
                  <c:v>6.075801987149295</c:v>
                </c:pt>
                <c:pt idx="27">
                  <c:v>6.0767288123023189</c:v>
                </c:pt>
                <c:pt idx="28">
                  <c:v>6.0776887411486493</c:v>
                </c:pt>
                <c:pt idx="29">
                  <c:v>6.0786851039676657</c:v>
                </c:pt>
                <c:pt idx="30">
                  <c:v>6.0797253667230526</c:v>
                </c:pt>
                <c:pt idx="31">
                  <c:v>6.0808184551514985</c:v>
                </c:pt>
                <c:pt idx="32">
                  <c:v>6.0819711627973367</c:v>
                </c:pt>
                <c:pt idx="33">
                  <c:v>6.0831864996824905</c:v>
                </c:pt>
                <c:pt idx="34">
                  <c:v>6.0844634538683735</c:v>
                </c:pt>
                <c:pt idx="35">
                  <c:v>6.0857983898036432</c:v>
                </c:pt>
                <c:pt idx="36">
                  <c:v>6.0871851493956948</c:v>
                </c:pt>
                <c:pt idx="37">
                  <c:v>6.0886149487764794</c:v>
                </c:pt>
                <c:pt idx="38">
                  <c:v>6.0900756795606661</c:v>
                </c:pt>
                <c:pt idx="39">
                  <c:v>6.0915528494125564</c:v>
                </c:pt>
                <c:pt idx="40">
                  <c:v>6.0930295128481378</c:v>
                </c:pt>
                <c:pt idx="41">
                  <c:v>6.0944882796541089</c:v>
                </c:pt>
                <c:pt idx="42">
                  <c:v>6.0959124345817024</c:v>
                </c:pt>
                <c:pt idx="43">
                  <c:v>6.0972849780591494</c:v>
                </c:pt>
                <c:pt idx="44">
                  <c:v>6.0985894223000274</c:v>
                </c:pt>
                <c:pt idx="45">
                  <c:v>6.0998084252066098</c:v>
                </c:pt>
                <c:pt idx="46">
                  <c:v>6.1009243417944932</c:v>
                </c:pt>
                <c:pt idx="47">
                  <c:v>6.1019205577869426</c:v>
                </c:pt>
                <c:pt idx="48">
                  <c:v>6.1027835376895725</c:v>
                </c:pt>
                <c:pt idx="49">
                  <c:v>6.1035027060115112</c:v>
                </c:pt>
                <c:pt idx="50">
                  <c:v>6.1040703117127695</c:v>
                </c:pt>
                <c:pt idx="51">
                  <c:v>6.1044813815650869</c:v>
                </c:pt>
                <c:pt idx="52">
                  <c:v>6.1047328284968367</c:v>
                </c:pt>
                <c:pt idx="53">
                  <c:v>6.1048268802736354</c:v>
                </c:pt>
                <c:pt idx="54">
                  <c:v>6.1047726703888276</c:v>
                </c:pt>
                <c:pt idx="55">
                  <c:v>6.104586271127479</c:v>
                </c:pt>
                <c:pt idx="56">
                  <c:v>6.1042892562489897</c:v>
                </c:pt>
                <c:pt idx="57">
                  <c:v>6.1039100404408284</c:v>
                </c:pt>
                <c:pt idx="58">
                  <c:v>6.1034850512843439</c:v>
                </c:pt>
                <c:pt idx="59">
                  <c:v>6.1030573174307081</c:v>
                </c:pt>
                <c:pt idx="60">
                  <c:v>6.1026733481973343</c:v>
                </c:pt>
                <c:pt idx="61">
                  <c:v>6.1023766453198531</c:v>
                </c:pt>
                <c:pt idx="62">
                  <c:v>6.1021944931859888</c:v>
                </c:pt>
                <c:pt idx="63">
                  <c:v>6.1021434581583813</c:v>
                </c:pt>
                <c:pt idx="64">
                  <c:v>6.1022293848956206</c:v>
                </c:pt>
                <c:pt idx="65">
                  <c:v>6.1024507767261253</c:v>
                </c:pt>
                <c:pt idx="66">
                  <c:v>6.1028015238411681</c:v>
                </c:pt>
                <c:pt idx="67">
                  <c:v>6.1032740672958923</c:v>
                </c:pt>
                <c:pt idx="68">
                  <c:v>6.1038640207120771</c:v>
                </c:pt>
                <c:pt idx="69">
                  <c:v>6.1045676887339217</c:v>
                </c:pt>
                <c:pt idx="70">
                  <c:v>6.1053787580003727</c:v>
                </c:pt>
                <c:pt idx="71">
                  <c:v>6.1062855517055095</c:v>
                </c:pt>
                <c:pt idx="72">
                  <c:v>6.1072770022483756</c:v>
                </c:pt>
                <c:pt idx="73">
                  <c:v>6.1083417749404951</c:v>
                </c:pt>
                <c:pt idx="74">
                  <c:v>6.1094713792496389</c:v>
                </c:pt>
                <c:pt idx="75">
                  <c:v>6.1106569821888881</c:v>
                </c:pt>
                <c:pt idx="76">
                  <c:v>6.111887647089489</c:v>
                </c:pt>
                <c:pt idx="77">
                  <c:v>6.1131494902282402</c:v>
                </c:pt>
                <c:pt idx="78">
                  <c:v>6.114428526227301</c:v>
                </c:pt>
                <c:pt idx="79">
                  <c:v>6.1157123532092514</c:v>
                </c:pt>
                <c:pt idx="80">
                  <c:v>6.1169919520038238</c:v>
                </c:pt>
                <c:pt idx="81">
                  <c:v>6.1182606259970296</c:v>
                </c:pt>
                <c:pt idx="82">
                  <c:v>6.1195152575889749</c:v>
                </c:pt>
                <c:pt idx="83">
                  <c:v>6.1207506436653549</c:v>
                </c:pt>
                <c:pt idx="84">
                  <c:v>6.1219589699361361</c:v>
                </c:pt>
                <c:pt idx="85">
                  <c:v>6.1231303300508948</c:v>
                </c:pt>
                <c:pt idx="86">
                  <c:v>6.1242560157076955</c:v>
                </c:pt>
                <c:pt idx="87">
                  <c:v>6.1253282323611407</c:v>
                </c:pt>
                <c:pt idx="88">
                  <c:v>6.1263397067257372</c:v>
                </c:pt>
                <c:pt idx="89">
                  <c:v>6.1272825495822705</c:v>
                </c:pt>
                <c:pt idx="90">
                  <c:v>6.1281496155561079</c:v>
                </c:pt>
                <c:pt idx="91">
                  <c:v>6.1289334752828868</c:v>
                </c:pt>
                <c:pt idx="92">
                  <c:v>6.1296264759459085</c:v>
                </c:pt>
                <c:pt idx="93">
                  <c:v>6.1302206160731165</c:v>
                </c:pt>
                <c:pt idx="94">
                  <c:v>6.1307091909445157</c:v>
                </c:pt>
                <c:pt idx="95">
                  <c:v>6.1310874896908629</c:v>
                </c:pt>
                <c:pt idx="96">
                  <c:v>6.131354852031782</c:v>
                </c:pt>
                <c:pt idx="97">
                  <c:v>6.1315145993063194</c:v>
                </c:pt>
                <c:pt idx="98">
                  <c:v>6.1315740607877585</c:v>
                </c:pt>
                <c:pt idx="99">
                  <c:v>6.1315455161640813</c:v>
                </c:pt>
                <c:pt idx="100">
                  <c:v>6.1314447996547106</c:v>
                </c:pt>
                <c:pt idx="101">
                  <c:v>6.131290679171614</c:v>
                </c:pt>
                <c:pt idx="102">
                  <c:v>6.131105560610961</c:v>
                </c:pt>
                <c:pt idx="103">
                  <c:v>6.1309167844820056</c:v>
                </c:pt>
                <c:pt idx="104">
                  <c:v>6.1307572468497638</c:v>
                </c:pt>
                <c:pt idx="105">
                  <c:v>6.1306575366502303</c:v>
                </c:pt>
                <c:pt idx="106">
                  <c:v>6.1306475028717546</c:v>
                </c:pt>
                <c:pt idx="107">
                  <c:v>6.1307348402241271</c:v>
                </c:pt>
                <c:pt idx="108">
                  <c:v>6.1309193743150097</c:v>
                </c:pt>
                <c:pt idx="109">
                  <c:v>6.1311976374403256</c:v>
                </c:pt>
                <c:pt idx="110">
                  <c:v>6.1315635544412626</c:v>
                </c:pt>
                <c:pt idx="111">
                  <c:v>6.1320100266072952</c:v>
                </c:pt>
                <c:pt idx="112">
                  <c:v>6.1325275192688151</c:v>
                </c:pt>
                <c:pt idx="113">
                  <c:v>6.1331069120599642</c:v>
                </c:pt>
                <c:pt idx="114">
                  <c:v>6.1337374194222569</c:v>
                </c:pt>
                <c:pt idx="115">
                  <c:v>6.1344094023866713</c:v>
                </c:pt>
                <c:pt idx="116">
                  <c:v>6.1351128905992001</c:v>
                </c:pt>
                <c:pt idx="117">
                  <c:v>6.1358379466741253</c:v>
                </c:pt>
                <c:pt idx="118">
                  <c:v>6.1365774210010064</c:v>
                </c:pt>
                <c:pt idx="119">
                  <c:v>6.1373281965464761</c:v>
                </c:pt>
                <c:pt idx="120">
                  <c:v>6.1380880999862564</c:v>
                </c:pt>
                <c:pt idx="121">
                  <c:v>6.1388554904414132</c:v>
                </c:pt>
                <c:pt idx="122">
                  <c:v>6.1396273751226218</c:v>
                </c:pt>
                <c:pt idx="123">
                  <c:v>6.1404010984881285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D4-5842-8F83-30E3D5724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060495"/>
        <c:axId val="440070527"/>
      </c:lineChart>
      <c:dateAx>
        <c:axId val="552060495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70527"/>
        <c:crosses val="autoZero"/>
        <c:auto val="1"/>
        <c:lblOffset val="100"/>
        <c:baseTimeUnit val="months"/>
        <c:majorUnit val="1"/>
        <c:majorTimeUnit val="years"/>
      </c:dateAx>
      <c:valAx>
        <c:axId val="440070527"/>
        <c:scaling>
          <c:orientation val="minMax"/>
          <c:min val="6.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0"/>
                  <a:t> GDP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060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GDP Growth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DATA!$L$3:$L$125</c:f>
              <c:numCache>
                <c:formatCode>0.0000000</c:formatCode>
                <c:ptCount val="123"/>
                <c:pt idx="0">
                  <c:v>-0.53940281677808222</c:v>
                </c:pt>
                <c:pt idx="1">
                  <c:v>1.1436844787752904</c:v>
                </c:pt>
                <c:pt idx="2">
                  <c:v>-0.38513653000121295</c:v>
                </c:pt>
                <c:pt idx="3">
                  <c:v>1.0861052662309141</c:v>
                </c:pt>
                <c:pt idx="4">
                  <c:v>0.95743181429945279</c:v>
                </c:pt>
                <c:pt idx="5">
                  <c:v>1.1674279127811884</c:v>
                </c:pt>
                <c:pt idx="6">
                  <c:v>0.25359452987707587</c:v>
                </c:pt>
                <c:pt idx="7">
                  <c:v>0.8157300462434206</c:v>
                </c:pt>
                <c:pt idx="8">
                  <c:v>1.2719843064903691</c:v>
                </c:pt>
                <c:pt idx="9">
                  <c:v>0.12440564175370948</c:v>
                </c:pt>
                <c:pt idx="10">
                  <c:v>1.1198353923605611</c:v>
                </c:pt>
                <c:pt idx="11">
                  <c:v>0.23316299900798787</c:v>
                </c:pt>
                <c:pt idx="12">
                  <c:v>-0.72372488712290373</c:v>
                </c:pt>
                <c:pt idx="13">
                  <c:v>0.18953941384744949</c:v>
                </c:pt>
                <c:pt idx="14">
                  <c:v>4.0210991647977368E-2</c:v>
                </c:pt>
                <c:pt idx="15">
                  <c:v>-1.2358870483724269</c:v>
                </c:pt>
                <c:pt idx="16">
                  <c:v>-0.41782811130850672</c:v>
                </c:pt>
                <c:pt idx="17">
                  <c:v>0.17337436644900234</c:v>
                </c:pt>
                <c:pt idx="18">
                  <c:v>0.80320142532380667</c:v>
                </c:pt>
                <c:pt idx="19">
                  <c:v>-1.3850204342185295</c:v>
                </c:pt>
                <c:pt idx="20">
                  <c:v>0.39415013145282851</c:v>
                </c:pt>
                <c:pt idx="21">
                  <c:v>0.52863083998670124</c:v>
                </c:pt>
                <c:pt idx="22">
                  <c:v>3.1567344074495622E-2</c:v>
                </c:pt>
                <c:pt idx="23">
                  <c:v>1.7266086245041379</c:v>
                </c:pt>
                <c:pt idx="24">
                  <c:v>0.44854541757320371</c:v>
                </c:pt>
                <c:pt idx="25">
                  <c:v>2.8274784175963359E-2</c:v>
                </c:pt>
                <c:pt idx="26">
                  <c:v>0.96517823207552289</c:v>
                </c:pt>
                <c:pt idx="27">
                  <c:v>0.7457144045729861</c:v>
                </c:pt>
                <c:pt idx="28">
                  <c:v>-0.75356747357536225</c:v>
                </c:pt>
                <c:pt idx="29">
                  <c:v>-1.0779476429002264</c:v>
                </c:pt>
                <c:pt idx="30">
                  <c:v>-0.35604421685755366</c:v>
                </c:pt>
                <c:pt idx="31">
                  <c:v>0.17773466256751522</c:v>
                </c:pt>
                <c:pt idx="32">
                  <c:v>0.79818062317886462</c:v>
                </c:pt>
                <c:pt idx="33">
                  <c:v>0.33181497183022873</c:v>
                </c:pt>
                <c:pt idx="34">
                  <c:v>0.26971054723067672</c:v>
                </c:pt>
                <c:pt idx="35">
                  <c:v>6.1906343860379735E-2</c:v>
                </c:pt>
                <c:pt idx="36">
                  <c:v>0.67802941195378519</c:v>
                </c:pt>
                <c:pt idx="37">
                  <c:v>0.31133587466202167</c:v>
                </c:pt>
                <c:pt idx="38">
                  <c:v>1.0859135431596316</c:v>
                </c:pt>
                <c:pt idx="39">
                  <c:v>0.75536335290572842</c:v>
                </c:pt>
                <c:pt idx="40">
                  <c:v>-1.7519582933707454E-2</c:v>
                </c:pt>
                <c:pt idx="41">
                  <c:v>0.6231545240278743</c:v>
                </c:pt>
                <c:pt idx="42">
                  <c:v>-0.18707358901935189</c:v>
                </c:pt>
                <c:pt idx="43">
                  <c:v>0.50478147677260743</c:v>
                </c:pt>
                <c:pt idx="44">
                  <c:v>0.77498771051884374</c:v>
                </c:pt>
                <c:pt idx="45">
                  <c:v>1.0166207159180307</c:v>
                </c:pt>
                <c:pt idx="46">
                  <c:v>0.18579986466265125</c:v>
                </c:pt>
                <c:pt idx="47">
                  <c:v>0.14887974620745217</c:v>
                </c:pt>
                <c:pt idx="48">
                  <c:v>0.14852231249866671</c:v>
                </c:pt>
                <c:pt idx="49">
                  <c:v>-0.1976063359555966</c:v>
                </c:pt>
                <c:pt idx="50">
                  <c:v>1.3670852571922567</c:v>
                </c:pt>
                <c:pt idx="51">
                  <c:v>0.64608167156700624</c:v>
                </c:pt>
                <c:pt idx="52">
                  <c:v>3.3843173235058234E-2</c:v>
                </c:pt>
                <c:pt idx="53">
                  <c:v>-0.54054336004183434</c:v>
                </c:pt>
                <c:pt idx="54">
                  <c:v>0.45156949212337361</c:v>
                </c:pt>
                <c:pt idx="55">
                  <c:v>0.36403897619891307</c:v>
                </c:pt>
                <c:pt idx="56">
                  <c:v>-0.60561160650972512</c:v>
                </c:pt>
                <c:pt idx="57">
                  <c:v>-1.2397080473917521</c:v>
                </c:pt>
                <c:pt idx="58">
                  <c:v>-2.4581317954339581</c:v>
                </c:pt>
                <c:pt idx="59">
                  <c:v>-4.8343090881807216</c:v>
                </c:pt>
                <c:pt idx="60">
                  <c:v>1.9769957884733007</c:v>
                </c:pt>
                <c:pt idx="61">
                  <c:v>-4.3288087626237121E-2</c:v>
                </c:pt>
                <c:pt idx="62">
                  <c:v>1.2412650440779236</c:v>
                </c:pt>
                <c:pt idx="63">
                  <c:v>1.030158791113736</c:v>
                </c:pt>
                <c:pt idx="64">
                  <c:v>1.2240695563057598</c:v>
                </c:pt>
                <c:pt idx="65">
                  <c:v>1.7994593596038606</c:v>
                </c:pt>
                <c:pt idx="66">
                  <c:v>-0.80219264671980739</c:v>
                </c:pt>
                <c:pt idx="67">
                  <c:v>-1.0774030385537228</c:v>
                </c:pt>
                <c:pt idx="68">
                  <c:v>-0.84583430351934419</c:v>
                </c:pt>
                <c:pt idx="69">
                  <c:v>2.4158818860136315</c:v>
                </c:pt>
                <c:pt idx="70">
                  <c:v>-0.11397611139573312</c:v>
                </c:pt>
                <c:pt idx="71">
                  <c:v>1.3840043665999127</c:v>
                </c:pt>
                <c:pt idx="72">
                  <c:v>-0.92451769219137858</c:v>
                </c:pt>
                <c:pt idx="73">
                  <c:v>-0.38800436473236422</c:v>
                </c:pt>
                <c:pt idx="74">
                  <c:v>-3.7707676049521792E-2</c:v>
                </c:pt>
                <c:pt idx="75">
                  <c:v>1.3405611092298606</c:v>
                </c:pt>
                <c:pt idx="76">
                  <c:v>0.91554993870902268</c:v>
                </c:pt>
                <c:pt idx="77">
                  <c:v>0.96195853989218538</c:v>
                </c:pt>
                <c:pt idx="78">
                  <c:v>-9.4916854134185769E-2</c:v>
                </c:pt>
                <c:pt idx="79">
                  <c:v>0.76041122985402754</c:v>
                </c:pt>
                <c:pt idx="80">
                  <c:v>-1.7787564319468776</c:v>
                </c:pt>
                <c:pt idx="81">
                  <c:v>9.5274171307079838E-2</c:v>
                </c:pt>
                <c:pt idx="82">
                  <c:v>0.47684059821050723</c:v>
                </c:pt>
                <c:pt idx="83">
                  <c:v>1.5015093795146253</c:v>
                </c:pt>
                <c:pt idx="84">
                  <c:v>0.16511477281185066</c:v>
                </c:pt>
                <c:pt idx="85">
                  <c:v>0.114663285547809</c:v>
                </c:pt>
                <c:pt idx="86">
                  <c:v>-0.17192264989152889</c:v>
                </c:pt>
                <c:pt idx="87">
                  <c:v>0.73656078179100337</c:v>
                </c:pt>
                <c:pt idx="88">
                  <c:v>-0.16144010860164107</c:v>
                </c:pt>
                <c:pt idx="89">
                  <c:v>0.22219861525452408</c:v>
                </c:pt>
                <c:pt idx="90">
                  <c:v>0.13445418223864175</c:v>
                </c:pt>
                <c:pt idx="91">
                  <c:v>0.76869923481268454</c:v>
                </c:pt>
                <c:pt idx="92">
                  <c:v>0.3944021933794416</c:v>
                </c:pt>
                <c:pt idx="93">
                  <c:v>0.87402634476644347</c:v>
                </c:pt>
                <c:pt idx="94">
                  <c:v>6.171625952522905E-2</c:v>
                </c:pt>
                <c:pt idx="95">
                  <c:v>7.1282584366594182E-2</c:v>
                </c:pt>
                <c:pt idx="96">
                  <c:v>0.38474404998057021</c:v>
                </c:pt>
                <c:pt idx="97">
                  <c:v>-0.49932011703143747</c:v>
                </c:pt>
                <c:pt idx="98">
                  <c:v>-0.23502153478703586</c:v>
                </c:pt>
                <c:pt idx="99">
                  <c:v>0.23655916219045989</c:v>
                </c:pt>
                <c:pt idx="100">
                  <c:v>0.44318736425798366</c:v>
                </c:pt>
                <c:pt idx="101">
                  <c:v>0.18631195801031089</c:v>
                </c:pt>
                <c:pt idx="102">
                  <c:v>-2.8973844443842087</c:v>
                </c:pt>
                <c:pt idx="103">
                  <c:v>0.54210013186423012</c:v>
                </c:pt>
                <c:pt idx="104">
                  <c:v>-7.6073634776683692</c:v>
                </c:pt>
                <c:pt idx="105">
                  <c:v>5.4013682196383801</c:v>
                </c:pt>
                <c:pt idx="106">
                  <c:v>1.7205271048282182</c:v>
                </c:pt>
                <c:pt idx="107">
                  <c:v>0.29560565754293577</c:v>
                </c:pt>
                <c:pt idx="108">
                  <c:v>0.64970537799843964</c:v>
                </c:pt>
                <c:pt idx="109">
                  <c:v>-0.43514508990040029</c:v>
                </c:pt>
                <c:pt idx="110">
                  <c:v>1.1595509194569313</c:v>
                </c:pt>
                <c:pt idx="111">
                  <c:v>-0.64486942418390047</c:v>
                </c:pt>
                <c:pt idx="112">
                  <c:v>1.176172066354217</c:v>
                </c:pt>
                <c:pt idx="113">
                  <c:v>-0.39852997659699813</c:v>
                </c:pt>
                <c:pt idx="114">
                  <c:v>0.28938040140144394</c:v>
                </c:pt>
                <c:pt idx="115">
                  <c:v>1.1838451767448572</c:v>
                </c:pt>
                <c:pt idx="116">
                  <c:v>0.62751292360678645</c:v>
                </c:pt>
                <c:pt idx="117">
                  <c:v>-0.96304350928264559</c:v>
                </c:pt>
                <c:pt idx="118">
                  <c:v>2.1359575603074086E-2</c:v>
                </c:pt>
                <c:pt idx="119">
                  <c:v>-0.51790231296839384</c:v>
                </c:pt>
                <c:pt idx="120">
                  <c:v>0.80220755359647133</c:v>
                </c:pt>
                <c:pt idx="121">
                  <c:v>0.35505666426183896</c:v>
                </c:pt>
                <c:pt idx="122">
                  <c:v>0.55615212584327434</c:v>
                </c:pt>
              </c:numCache>
            </c:numRef>
          </c:xVal>
          <c:yVal>
            <c:numRef>
              <c:f>'Okun''s Law ANOVA Table'!$C$25:$C$147</c:f>
              <c:numCache>
                <c:formatCode>General</c:formatCode>
                <c:ptCount val="123"/>
                <c:pt idx="0">
                  <c:v>-4.6556668456733424E-2</c:v>
                </c:pt>
                <c:pt idx="1">
                  <c:v>0.15720409047266529</c:v>
                </c:pt>
                <c:pt idx="2">
                  <c:v>-4.3156867269079274E-2</c:v>
                </c:pt>
                <c:pt idx="3">
                  <c:v>0.1226011296434231</c:v>
                </c:pt>
                <c:pt idx="4">
                  <c:v>5.3099356748150736E-2</c:v>
                </c:pt>
                <c:pt idx="5">
                  <c:v>0.19105936070117013</c:v>
                </c:pt>
                <c:pt idx="6">
                  <c:v>0.10425382220946343</c:v>
                </c:pt>
                <c:pt idx="7">
                  <c:v>8.3309459001694758E-2</c:v>
                </c:pt>
                <c:pt idx="8">
                  <c:v>6.0030629241861755E-2</c:v>
                </c:pt>
                <c:pt idx="9">
                  <c:v>-9.8593310138440818E-2</c:v>
                </c:pt>
                <c:pt idx="10">
                  <c:v>5.6678491821065623E-2</c:v>
                </c:pt>
                <c:pt idx="11">
                  <c:v>3.8035414360965128E-3</c:v>
                </c:pt>
                <c:pt idx="12">
                  <c:v>1.6048145262892673E-2</c:v>
                </c:pt>
                <c:pt idx="13">
                  <c:v>3.6175142029024034E-2</c:v>
                </c:pt>
                <c:pt idx="14">
                  <c:v>0.13288516408593937</c:v>
                </c:pt>
                <c:pt idx="15">
                  <c:v>0.13809384743218694</c:v>
                </c:pt>
                <c:pt idx="16">
                  <c:v>0.38945665854775974</c:v>
                </c:pt>
                <c:pt idx="17">
                  <c:v>0.16915288825192276</c:v>
                </c:pt>
                <c:pt idx="18">
                  <c:v>0.21636634669503205</c:v>
                </c:pt>
                <c:pt idx="19">
                  <c:v>0.16814116780236071</c:v>
                </c:pt>
                <c:pt idx="20">
                  <c:v>0.14068446013899957</c:v>
                </c:pt>
                <c:pt idx="21">
                  <c:v>-2.3017783604578016E-2</c:v>
                </c:pt>
                <c:pt idx="22">
                  <c:v>-3.397232914430616E-2</c:v>
                </c:pt>
                <c:pt idx="23">
                  <c:v>0.17004987796180632</c:v>
                </c:pt>
                <c:pt idx="24">
                  <c:v>-9.14497480691015E-2</c:v>
                </c:pt>
                <c:pt idx="25">
                  <c:v>-3.4044892303032107E-2</c:v>
                </c:pt>
                <c:pt idx="26">
                  <c:v>0.11993607635841352</c:v>
                </c:pt>
                <c:pt idx="27">
                  <c:v>-1.8234582363200323E-2</c:v>
                </c:pt>
                <c:pt idx="28">
                  <c:v>0.11539145871981457</c:v>
                </c:pt>
                <c:pt idx="29">
                  <c:v>0.27490859873255613</c:v>
                </c:pt>
                <c:pt idx="30">
                  <c:v>0.22415128435804504</c:v>
                </c:pt>
                <c:pt idx="31">
                  <c:v>-3.0751017259566877E-2</c:v>
                </c:pt>
                <c:pt idx="32">
                  <c:v>8.2921695628932021E-2</c:v>
                </c:pt>
                <c:pt idx="33">
                  <c:v>7.2644685258269198E-2</c:v>
                </c:pt>
                <c:pt idx="34">
                  <c:v>-0.12872400456323119</c:v>
                </c:pt>
                <c:pt idx="35">
                  <c:v>6.6695297615691485E-2</c:v>
                </c:pt>
                <c:pt idx="36">
                  <c:v>4.6941740335807516E-2</c:v>
                </c:pt>
                <c:pt idx="37">
                  <c:v>-0.2944736438060977</c:v>
                </c:pt>
                <c:pt idx="38">
                  <c:v>-0.11073709564999014</c:v>
                </c:pt>
                <c:pt idx="39">
                  <c:v>-0.1180209337885402</c:v>
                </c:pt>
                <c:pt idx="40">
                  <c:v>-0.16838813253912027</c:v>
                </c:pt>
                <c:pt idx="41">
                  <c:v>4.5732378828244477E-2</c:v>
                </c:pt>
                <c:pt idx="42">
                  <c:v>-0.23879185248814827</c:v>
                </c:pt>
                <c:pt idx="43">
                  <c:v>9.7896116435725062E-3</c:v>
                </c:pt>
                <c:pt idx="44">
                  <c:v>-8.4255441921949586E-2</c:v>
                </c:pt>
                <c:pt idx="45">
                  <c:v>-0.11226320725210427</c:v>
                </c:pt>
                <c:pt idx="46">
                  <c:v>0.16942672788640353</c:v>
                </c:pt>
                <c:pt idx="47">
                  <c:v>-0.26472093701209354</c:v>
                </c:pt>
                <c:pt idx="48">
                  <c:v>-6.4728814323287934E-2</c:v>
                </c:pt>
                <c:pt idx="49">
                  <c:v>-3.9022978679110032E-2</c:v>
                </c:pt>
                <c:pt idx="50">
                  <c:v>-3.7873486220442544E-2</c:v>
                </c:pt>
                <c:pt idx="51">
                  <c:v>-2.0429340691738289E-2</c:v>
                </c:pt>
                <c:pt idx="52">
                  <c:v>-0.30058917322985002</c:v>
                </c:pt>
                <c:pt idx="53">
                  <c:v>-1.3247804346263764E-2</c:v>
                </c:pt>
                <c:pt idx="54">
                  <c:v>0.14194989806896252</c:v>
                </c:pt>
                <c:pt idx="55">
                  <c:v>7.3354854736076655E-2</c:v>
                </c:pt>
                <c:pt idx="56">
                  <c:v>-1.4681812425683468E-2</c:v>
                </c:pt>
                <c:pt idx="57">
                  <c:v>3.8010638255473461E-2</c:v>
                </c:pt>
                <c:pt idx="58">
                  <c:v>4.449137784130347E-2</c:v>
                </c:pt>
                <c:pt idx="59">
                  <c:v>0.4254569387154607</c:v>
                </c:pt>
                <c:pt idx="60">
                  <c:v>0.57556804136109252</c:v>
                </c:pt>
                <c:pt idx="61">
                  <c:v>0.33104496766443892</c:v>
                </c:pt>
                <c:pt idx="62">
                  <c:v>-0.17397937794496759</c:v>
                </c:pt>
                <c:pt idx="63">
                  <c:v>-0.11196584806364636</c:v>
                </c:pt>
                <c:pt idx="64">
                  <c:v>5.8975658893527266E-2</c:v>
                </c:pt>
                <c:pt idx="65">
                  <c:v>-2.8344599400109249E-2</c:v>
                </c:pt>
                <c:pt idx="66">
                  <c:v>-5.2347168301618834E-2</c:v>
                </c:pt>
                <c:pt idx="67">
                  <c:v>-0.32024839899175017</c:v>
                </c:pt>
                <c:pt idx="68">
                  <c:v>-0.1074979659809312</c:v>
                </c:pt>
                <c:pt idx="69">
                  <c:v>-0.16479855706084817</c:v>
                </c:pt>
                <c:pt idx="70">
                  <c:v>2.888310799085066E-2</c:v>
                </c:pt>
                <c:pt idx="71">
                  <c:v>6.2499385969975466E-2</c:v>
                </c:pt>
                <c:pt idx="72">
                  <c:v>-0.12171003169188502</c:v>
                </c:pt>
                <c:pt idx="73">
                  <c:v>-0.14321907011221977</c:v>
                </c:pt>
                <c:pt idx="74">
                  <c:v>-0.13549904830383971</c:v>
                </c:pt>
                <c:pt idx="75">
                  <c:v>6.1541960721153852E-2</c:v>
                </c:pt>
                <c:pt idx="76">
                  <c:v>-8.1157657951616807E-2</c:v>
                </c:pt>
                <c:pt idx="77">
                  <c:v>-0.14680188090345811</c:v>
                </c:pt>
                <c:pt idx="78">
                  <c:v>-7.0092854119943343E-2</c:v>
                </c:pt>
                <c:pt idx="79">
                  <c:v>-0.25124368603374825</c:v>
                </c:pt>
                <c:pt idx="80">
                  <c:v>-4.0536192239598701E-2</c:v>
                </c:pt>
                <c:pt idx="81">
                  <c:v>-6.5902324734707349E-2</c:v>
                </c:pt>
                <c:pt idx="82">
                  <c:v>-0.12415916406545792</c:v>
                </c:pt>
                <c:pt idx="83">
                  <c:v>9.8423022959427217E-2</c:v>
                </c:pt>
                <c:pt idx="84">
                  <c:v>-0.164363140996618</c:v>
                </c:pt>
                <c:pt idx="85">
                  <c:v>1.1919827152898654E-3</c:v>
                </c:pt>
                <c:pt idx="86">
                  <c:v>-7.1790948160008139E-2</c:v>
                </c:pt>
                <c:pt idx="87">
                  <c:v>-1.8435314694066514E-2</c:v>
                </c:pt>
                <c:pt idx="88">
                  <c:v>-7.1559928427365319E-2</c:v>
                </c:pt>
                <c:pt idx="89">
                  <c:v>-0.12977109739300702</c:v>
                </c:pt>
                <c:pt idx="90">
                  <c:v>-3.1704855142741219E-2</c:v>
                </c:pt>
                <c:pt idx="91">
                  <c:v>-0.11772803064163093</c:v>
                </c:pt>
                <c:pt idx="92">
                  <c:v>7.3570152116943874E-3</c:v>
                </c:pt>
                <c:pt idx="93">
                  <c:v>-4.873877665286426E-2</c:v>
                </c:pt>
                <c:pt idx="94">
                  <c:v>-0.13330889156239789</c:v>
                </c:pt>
                <c:pt idx="95">
                  <c:v>-0.16643006388749457</c:v>
                </c:pt>
                <c:pt idx="96">
                  <c:v>-0.15952283600864706</c:v>
                </c:pt>
                <c:pt idx="97">
                  <c:v>5.4327695063904752E-2</c:v>
                </c:pt>
                <c:pt idx="98">
                  <c:v>2.6818445581881355E-2</c:v>
                </c:pt>
                <c:pt idx="99">
                  <c:v>3.8783878582310926E-3</c:v>
                </c:pt>
                <c:pt idx="100">
                  <c:v>-9.1567831653047591E-2</c:v>
                </c:pt>
                <c:pt idx="101">
                  <c:v>-0.13056198633231417</c:v>
                </c:pt>
                <c:pt idx="102">
                  <c:v>-3.1856101988625596E-2</c:v>
                </c:pt>
                <c:pt idx="103">
                  <c:v>0.17727905970110339</c:v>
                </c:pt>
                <c:pt idx="104">
                  <c:v>0.13100991436323137</c:v>
                </c:pt>
                <c:pt idx="105">
                  <c:v>0.35103615368614094</c:v>
                </c:pt>
                <c:pt idx="106">
                  <c:v>0.16991585024746259</c:v>
                </c:pt>
                <c:pt idx="107">
                  <c:v>-0.19482031456586696</c:v>
                </c:pt>
                <c:pt idx="108">
                  <c:v>1.2983520447637491E-2</c:v>
                </c:pt>
                <c:pt idx="109">
                  <c:v>-0.1442579820920285</c:v>
                </c:pt>
                <c:pt idx="110">
                  <c:v>2.42197633986194E-2</c:v>
                </c:pt>
                <c:pt idx="111">
                  <c:v>-8.2213996763376068E-2</c:v>
                </c:pt>
                <c:pt idx="112">
                  <c:v>-4.2079931064751705E-2</c:v>
                </c:pt>
                <c:pt idx="113">
                  <c:v>-4.3452039056736252E-2</c:v>
                </c:pt>
                <c:pt idx="114">
                  <c:v>-2.8290510019685425E-2</c:v>
                </c:pt>
                <c:pt idx="115">
                  <c:v>5.8088172958973353E-2</c:v>
                </c:pt>
                <c:pt idx="116">
                  <c:v>-2.0838568480177361E-2</c:v>
                </c:pt>
                <c:pt idx="117">
                  <c:v>1.0773916182476116E-2</c:v>
                </c:pt>
                <c:pt idx="118">
                  <c:v>-6.753029328972919E-2</c:v>
                </c:pt>
                <c:pt idx="119">
                  <c:v>2.0584170901914708E-2</c:v>
                </c:pt>
                <c:pt idx="120">
                  <c:v>4.9677443229605586E-2</c:v>
                </c:pt>
                <c:pt idx="121">
                  <c:v>-6.0176102156706421E-2</c:v>
                </c:pt>
                <c:pt idx="122">
                  <c:v>-5.5745255099252121E-2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2D-6245-A71C-C8C491A7F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87359"/>
        <c:axId val="139735327"/>
      </c:scatterChart>
      <c:valAx>
        <c:axId val="119587359"/>
        <c:scaling>
          <c:orientation val="minMax"/>
          <c:max val="6"/>
          <c:min val="-8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GDP Growth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139735327"/>
        <c:crosses val="autoZero"/>
        <c:crossBetween val="midCat"/>
        <c:majorUnit val="2"/>
      </c:valAx>
      <c:valAx>
        <c:axId val="139735327"/>
        <c:scaling>
          <c:orientation val="minMax"/>
          <c:max val="0.6"/>
          <c:min val="-0.3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587359"/>
        <c:crosses val="autoZero"/>
        <c:crossBetween val="midCat"/>
        <c:majorUnit val="0.2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Okuns's Law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trendline>
            <c:spPr>
              <a:ln w="12700">
                <a:solidFill>
                  <a:srgbClr val="C00000"/>
                </a:solidFill>
              </a:ln>
            </c:spPr>
            <c:trendlineType val="linear"/>
            <c:dispRSqr val="0"/>
            <c:dispEq val="1"/>
            <c:trendlineLbl>
              <c:layout>
                <c:manualLayout>
                  <c:x val="0.19176815915762008"/>
                  <c:y val="-0.3132960212967269"/>
                </c:manualLayout>
              </c:layout>
              <c:numFmt formatCode="General" sourceLinked="0"/>
            </c:trendlineLbl>
          </c:trendline>
          <c:xVal>
            <c:numRef>
              <c:f>DATA!$L$3:$L$125</c:f>
              <c:numCache>
                <c:formatCode>0.0000000</c:formatCode>
                <c:ptCount val="123"/>
                <c:pt idx="0">
                  <c:v>-0.53940281677808222</c:v>
                </c:pt>
                <c:pt idx="1">
                  <c:v>1.1436844787752904</c:v>
                </c:pt>
                <c:pt idx="2">
                  <c:v>-0.38513653000121295</c:v>
                </c:pt>
                <c:pt idx="3">
                  <c:v>1.0861052662309141</c:v>
                </c:pt>
                <c:pt idx="4">
                  <c:v>0.95743181429945279</c:v>
                </c:pt>
                <c:pt idx="5">
                  <c:v>1.1674279127811884</c:v>
                </c:pt>
                <c:pt idx="6">
                  <c:v>0.25359452987707587</c:v>
                </c:pt>
                <c:pt idx="7">
                  <c:v>0.8157300462434206</c:v>
                </c:pt>
                <c:pt idx="8">
                  <c:v>1.2719843064903691</c:v>
                </c:pt>
                <c:pt idx="9">
                  <c:v>0.12440564175370948</c:v>
                </c:pt>
                <c:pt idx="10">
                  <c:v>1.1198353923605611</c:v>
                </c:pt>
                <c:pt idx="11">
                  <c:v>0.23316299900798787</c:v>
                </c:pt>
                <c:pt idx="12">
                  <c:v>-0.72372488712290373</c:v>
                </c:pt>
                <c:pt idx="13">
                  <c:v>0.18953941384744949</c:v>
                </c:pt>
                <c:pt idx="14">
                  <c:v>4.0210991647977368E-2</c:v>
                </c:pt>
                <c:pt idx="15">
                  <c:v>-1.2358870483724269</c:v>
                </c:pt>
                <c:pt idx="16">
                  <c:v>-0.41782811130850672</c:v>
                </c:pt>
                <c:pt idx="17">
                  <c:v>0.17337436644900234</c:v>
                </c:pt>
                <c:pt idx="18">
                  <c:v>0.80320142532380667</c:v>
                </c:pt>
                <c:pt idx="19">
                  <c:v>-1.3850204342185295</c:v>
                </c:pt>
                <c:pt idx="20">
                  <c:v>0.39415013145282851</c:v>
                </c:pt>
                <c:pt idx="21">
                  <c:v>0.52863083998670124</c:v>
                </c:pt>
                <c:pt idx="22">
                  <c:v>3.1567344074495622E-2</c:v>
                </c:pt>
                <c:pt idx="23">
                  <c:v>1.7266086245041379</c:v>
                </c:pt>
                <c:pt idx="24">
                  <c:v>0.44854541757320371</c:v>
                </c:pt>
                <c:pt idx="25">
                  <c:v>2.8274784175963359E-2</c:v>
                </c:pt>
                <c:pt idx="26">
                  <c:v>0.96517823207552289</c:v>
                </c:pt>
                <c:pt idx="27">
                  <c:v>0.7457144045729861</c:v>
                </c:pt>
                <c:pt idx="28">
                  <c:v>-0.75356747357536225</c:v>
                </c:pt>
                <c:pt idx="29">
                  <c:v>-1.0779476429002264</c:v>
                </c:pt>
                <c:pt idx="30">
                  <c:v>-0.35604421685755366</c:v>
                </c:pt>
                <c:pt idx="31">
                  <c:v>0.17773466256751522</c:v>
                </c:pt>
                <c:pt idx="32">
                  <c:v>0.79818062317886462</c:v>
                </c:pt>
                <c:pt idx="33">
                  <c:v>0.33181497183022873</c:v>
                </c:pt>
                <c:pt idx="34">
                  <c:v>0.26971054723067672</c:v>
                </c:pt>
                <c:pt idx="35">
                  <c:v>6.1906343860379735E-2</c:v>
                </c:pt>
                <c:pt idx="36">
                  <c:v>0.67802941195378519</c:v>
                </c:pt>
                <c:pt idx="37">
                  <c:v>0.31133587466202167</c:v>
                </c:pt>
                <c:pt idx="38">
                  <c:v>1.0859135431596316</c:v>
                </c:pt>
                <c:pt idx="39">
                  <c:v>0.75536335290572842</c:v>
                </c:pt>
                <c:pt idx="40">
                  <c:v>-1.7519582933707454E-2</c:v>
                </c:pt>
                <c:pt idx="41">
                  <c:v>0.6231545240278743</c:v>
                </c:pt>
                <c:pt idx="42">
                  <c:v>-0.18707358901935189</c:v>
                </c:pt>
                <c:pt idx="43">
                  <c:v>0.50478147677260743</c:v>
                </c:pt>
                <c:pt idx="44">
                  <c:v>0.77498771051884374</c:v>
                </c:pt>
                <c:pt idx="45">
                  <c:v>1.0166207159180307</c:v>
                </c:pt>
                <c:pt idx="46">
                  <c:v>0.18579986466265125</c:v>
                </c:pt>
                <c:pt idx="47">
                  <c:v>0.14887974620745217</c:v>
                </c:pt>
                <c:pt idx="48">
                  <c:v>0.14852231249866671</c:v>
                </c:pt>
                <c:pt idx="49">
                  <c:v>-0.1976063359555966</c:v>
                </c:pt>
                <c:pt idx="50">
                  <c:v>1.3670852571922567</c:v>
                </c:pt>
                <c:pt idx="51">
                  <c:v>0.64608167156700624</c:v>
                </c:pt>
                <c:pt idx="52">
                  <c:v>3.3843173235058234E-2</c:v>
                </c:pt>
                <c:pt idx="53">
                  <c:v>-0.54054336004183434</c:v>
                </c:pt>
                <c:pt idx="54">
                  <c:v>0.45156949212337361</c:v>
                </c:pt>
                <c:pt idx="55">
                  <c:v>0.36403897619891307</c:v>
                </c:pt>
                <c:pt idx="56">
                  <c:v>-0.60561160650972512</c:v>
                </c:pt>
                <c:pt idx="57">
                  <c:v>-1.2397080473917521</c:v>
                </c:pt>
                <c:pt idx="58">
                  <c:v>-2.4581317954339581</c:v>
                </c:pt>
                <c:pt idx="59">
                  <c:v>-4.8343090881807216</c:v>
                </c:pt>
                <c:pt idx="60">
                  <c:v>1.9769957884733007</c:v>
                </c:pt>
                <c:pt idx="61">
                  <c:v>-4.3288087626237121E-2</c:v>
                </c:pt>
                <c:pt idx="62">
                  <c:v>1.2412650440779236</c:v>
                </c:pt>
                <c:pt idx="63">
                  <c:v>1.030158791113736</c:v>
                </c:pt>
                <c:pt idx="64">
                  <c:v>1.2240695563057598</c:v>
                </c:pt>
                <c:pt idx="65">
                  <c:v>1.7994593596038606</c:v>
                </c:pt>
                <c:pt idx="66">
                  <c:v>-0.80219264671980739</c:v>
                </c:pt>
                <c:pt idx="67">
                  <c:v>-1.0774030385537228</c:v>
                </c:pt>
                <c:pt idx="68">
                  <c:v>-0.84583430351934419</c:v>
                </c:pt>
                <c:pt idx="69">
                  <c:v>2.4158818860136315</c:v>
                </c:pt>
                <c:pt idx="70">
                  <c:v>-0.11397611139573312</c:v>
                </c:pt>
                <c:pt idx="71">
                  <c:v>1.3840043665999127</c:v>
                </c:pt>
                <c:pt idx="72">
                  <c:v>-0.92451769219137858</c:v>
                </c:pt>
                <c:pt idx="73">
                  <c:v>-0.38800436473236422</c:v>
                </c:pt>
                <c:pt idx="74">
                  <c:v>-3.7707676049521792E-2</c:v>
                </c:pt>
                <c:pt idx="75">
                  <c:v>1.3405611092298606</c:v>
                </c:pt>
                <c:pt idx="76">
                  <c:v>0.91554993870902268</c:v>
                </c:pt>
                <c:pt idx="77">
                  <c:v>0.96195853989218538</c:v>
                </c:pt>
                <c:pt idx="78">
                  <c:v>-9.4916854134185769E-2</c:v>
                </c:pt>
                <c:pt idx="79">
                  <c:v>0.76041122985402754</c:v>
                </c:pt>
                <c:pt idx="80">
                  <c:v>-1.7787564319468776</c:v>
                </c:pt>
                <c:pt idx="81">
                  <c:v>9.5274171307079838E-2</c:v>
                </c:pt>
                <c:pt idx="82">
                  <c:v>0.47684059821050723</c:v>
                </c:pt>
                <c:pt idx="83">
                  <c:v>1.5015093795146253</c:v>
                </c:pt>
                <c:pt idx="84">
                  <c:v>0.16511477281185066</c:v>
                </c:pt>
                <c:pt idx="85">
                  <c:v>0.114663285547809</c:v>
                </c:pt>
                <c:pt idx="86">
                  <c:v>-0.17192264989152889</c:v>
                </c:pt>
                <c:pt idx="87">
                  <c:v>0.73656078179100337</c:v>
                </c:pt>
                <c:pt idx="88">
                  <c:v>-0.16144010860164107</c:v>
                </c:pt>
                <c:pt idx="89">
                  <c:v>0.22219861525452408</c:v>
                </c:pt>
                <c:pt idx="90">
                  <c:v>0.13445418223864175</c:v>
                </c:pt>
                <c:pt idx="91">
                  <c:v>0.76869923481268454</c:v>
                </c:pt>
                <c:pt idx="92">
                  <c:v>0.3944021933794416</c:v>
                </c:pt>
                <c:pt idx="93">
                  <c:v>0.87402634476644347</c:v>
                </c:pt>
                <c:pt idx="94">
                  <c:v>6.171625952522905E-2</c:v>
                </c:pt>
                <c:pt idx="95">
                  <c:v>7.1282584366594182E-2</c:v>
                </c:pt>
                <c:pt idx="96">
                  <c:v>0.38474404998057021</c:v>
                </c:pt>
                <c:pt idx="97">
                  <c:v>-0.49932011703143747</c:v>
                </c:pt>
                <c:pt idx="98">
                  <c:v>-0.23502153478703586</c:v>
                </c:pt>
                <c:pt idx="99">
                  <c:v>0.23655916219045989</c:v>
                </c:pt>
                <c:pt idx="100">
                  <c:v>0.44318736425798366</c:v>
                </c:pt>
                <c:pt idx="101">
                  <c:v>0.18631195801031089</c:v>
                </c:pt>
                <c:pt idx="102">
                  <c:v>-2.8973844443842087</c:v>
                </c:pt>
                <c:pt idx="103">
                  <c:v>0.54210013186423012</c:v>
                </c:pt>
                <c:pt idx="104">
                  <c:v>-7.6073634776683692</c:v>
                </c:pt>
                <c:pt idx="105">
                  <c:v>5.4013682196383801</c:v>
                </c:pt>
                <c:pt idx="106">
                  <c:v>1.7205271048282182</c:v>
                </c:pt>
                <c:pt idx="107">
                  <c:v>0.29560565754293577</c:v>
                </c:pt>
                <c:pt idx="108">
                  <c:v>0.64970537799843964</c:v>
                </c:pt>
                <c:pt idx="109">
                  <c:v>-0.43514508990040029</c:v>
                </c:pt>
                <c:pt idx="110">
                  <c:v>1.1595509194569313</c:v>
                </c:pt>
                <c:pt idx="111">
                  <c:v>-0.64486942418390047</c:v>
                </c:pt>
                <c:pt idx="112">
                  <c:v>1.176172066354217</c:v>
                </c:pt>
                <c:pt idx="113">
                  <c:v>-0.39852997659699813</c:v>
                </c:pt>
                <c:pt idx="114">
                  <c:v>0.28938040140144394</c:v>
                </c:pt>
                <c:pt idx="115">
                  <c:v>1.1838451767448572</c:v>
                </c:pt>
                <c:pt idx="116">
                  <c:v>0.62751292360678645</c:v>
                </c:pt>
                <c:pt idx="117">
                  <c:v>-0.96304350928264559</c:v>
                </c:pt>
                <c:pt idx="118">
                  <c:v>2.1359575603074086E-2</c:v>
                </c:pt>
                <c:pt idx="119">
                  <c:v>-0.51790231296839384</c:v>
                </c:pt>
                <c:pt idx="120">
                  <c:v>0.80220755359647133</c:v>
                </c:pt>
                <c:pt idx="121">
                  <c:v>0.35505666426183896</c:v>
                </c:pt>
                <c:pt idx="122">
                  <c:v>0.55615212584327434</c:v>
                </c:pt>
              </c:numCache>
            </c:numRef>
          </c:xVal>
          <c:yVal>
            <c:numRef>
              <c:f>DATA!$M$3:$M$125</c:f>
              <c:numCache>
                <c:formatCode>0.0000000</c:formatCode>
                <c:ptCount val="123"/>
                <c:pt idx="0">
                  <c:v>-3.3333999999999975E-2</c:v>
                </c:pt>
                <c:pt idx="1">
                  <c:v>0.13333399999999962</c:v>
                </c:pt>
                <c:pt idx="2">
                  <c:v>-3.3333999999999975E-2</c:v>
                </c:pt>
                <c:pt idx="3">
                  <c:v>0.10000000000000009</c:v>
                </c:pt>
                <c:pt idx="4">
                  <c:v>3.3333999999999975E-2</c:v>
                </c:pt>
                <c:pt idx="5">
                  <c:v>0.1666660000000002</c:v>
                </c:pt>
                <c:pt idx="6">
                  <c:v>0.10000000000000009</c:v>
                </c:pt>
                <c:pt idx="7">
                  <c:v>6.666699999999981E-2</c:v>
                </c:pt>
                <c:pt idx="8">
                  <c:v>3.3332999999999835E-2</c:v>
                </c:pt>
                <c:pt idx="9">
                  <c:v>-9.9999999999999645E-2</c:v>
                </c:pt>
                <c:pt idx="10">
                  <c:v>3.3333999999999975E-2</c:v>
                </c:pt>
                <c:pt idx="11">
                  <c:v>0</c:v>
                </c:pt>
                <c:pt idx="12">
                  <c:v>3.3332999999999835E-2</c:v>
                </c:pt>
                <c:pt idx="13">
                  <c:v>3.3332999999999835E-2</c:v>
                </c:pt>
                <c:pt idx="14">
                  <c:v>0.13333400000000006</c:v>
                </c:pt>
                <c:pt idx="15">
                  <c:v>0.1666660000000002</c:v>
                </c:pt>
                <c:pt idx="16">
                  <c:v>0.39999999999999991</c:v>
                </c:pt>
                <c:pt idx="17">
                  <c:v>0.16666700000000034</c:v>
                </c:pt>
                <c:pt idx="18">
                  <c:v>0.19999999999999929</c:v>
                </c:pt>
                <c:pt idx="19">
                  <c:v>0.20000000000000018</c:v>
                </c:pt>
                <c:pt idx="20">
                  <c:v>0.13333300000000037</c:v>
                </c:pt>
                <c:pt idx="21">
                  <c:v>-3.3332999999999835E-2</c:v>
                </c:pt>
                <c:pt idx="22">
                  <c:v>-3.3333000000000723E-2</c:v>
                </c:pt>
                <c:pt idx="23">
                  <c:v>0.13333300000000037</c:v>
                </c:pt>
                <c:pt idx="24">
                  <c:v>-9.9999999999999645E-2</c:v>
                </c:pt>
                <c:pt idx="25">
                  <c:v>-3.3333000000000723E-2</c:v>
                </c:pt>
                <c:pt idx="26">
                  <c:v>0.10000000000000053</c:v>
                </c:pt>
                <c:pt idx="27">
                  <c:v>-3.3333999999999975E-2</c:v>
                </c:pt>
                <c:pt idx="28">
                  <c:v>0.13333399999999962</c:v>
                </c:pt>
                <c:pt idx="29">
                  <c:v>0.29999999999999982</c:v>
                </c:pt>
                <c:pt idx="30">
                  <c:v>0.23333300000000001</c:v>
                </c:pt>
                <c:pt idx="31">
                  <c:v>-3.3332999999999835E-2</c:v>
                </c:pt>
                <c:pt idx="32">
                  <c:v>6.6666000000000558E-2</c:v>
                </c:pt>
                <c:pt idx="33">
                  <c:v>6.666699999999981E-2</c:v>
                </c:pt>
                <c:pt idx="34">
                  <c:v>-0.13333300000000037</c:v>
                </c:pt>
                <c:pt idx="35">
                  <c:v>6.6666000000000558E-2</c:v>
                </c:pt>
                <c:pt idx="36">
                  <c:v>3.3333999999998198E-2</c:v>
                </c:pt>
                <c:pt idx="37">
                  <c:v>-0.29999999999999893</c:v>
                </c:pt>
                <c:pt idx="38">
                  <c:v>-0.13333399999999962</c:v>
                </c:pt>
                <c:pt idx="39">
                  <c:v>-0.13333300000000037</c:v>
                </c:pt>
                <c:pt idx="40">
                  <c:v>-0.16666699999999945</c:v>
                </c:pt>
                <c:pt idx="41">
                  <c:v>3.3333999999999975E-2</c:v>
                </c:pt>
                <c:pt idx="42">
                  <c:v>-0.23333400000000015</c:v>
                </c:pt>
                <c:pt idx="43">
                  <c:v>0</c:v>
                </c:pt>
                <c:pt idx="44">
                  <c:v>-9.9999999999999645E-2</c:v>
                </c:pt>
                <c:pt idx="45">
                  <c:v>-0.13333300000000037</c:v>
                </c:pt>
                <c:pt idx="46">
                  <c:v>0.16666699999999857</c:v>
                </c:pt>
                <c:pt idx="47">
                  <c:v>-0.26666699999999821</c:v>
                </c:pt>
                <c:pt idx="48">
                  <c:v>-6.6666999999998922E-2</c:v>
                </c:pt>
                <c:pt idx="49">
                  <c:v>-3.3333000000001611E-2</c:v>
                </c:pt>
                <c:pt idx="50">
                  <c:v>-6.666699999999981E-2</c:v>
                </c:pt>
                <c:pt idx="51">
                  <c:v>-3.3332999999999835E-2</c:v>
                </c:pt>
                <c:pt idx="52">
                  <c:v>-0.30000000000000027</c:v>
                </c:pt>
                <c:pt idx="53">
                  <c:v>0</c:v>
                </c:pt>
                <c:pt idx="54">
                  <c:v>0.13333299999999992</c:v>
                </c:pt>
                <c:pt idx="55">
                  <c:v>6.666699999999981E-2</c:v>
                </c:pt>
                <c:pt idx="56">
                  <c:v>0</c:v>
                </c:pt>
                <c:pt idx="57">
                  <c:v>6.6666999999998922E-2</c:v>
                </c:pt>
                <c:pt idx="58">
                  <c:v>0.10000000000000142</c:v>
                </c:pt>
                <c:pt idx="59">
                  <c:v>0.53333299999999983</c:v>
                </c:pt>
                <c:pt idx="60">
                  <c:v>0.53333300000000161</c:v>
                </c:pt>
                <c:pt idx="61">
                  <c:v>0.33333399999999713</c:v>
                </c:pt>
                <c:pt idx="62">
                  <c:v>-0.1999999999999984</c:v>
                </c:pt>
                <c:pt idx="63">
                  <c:v>-0.13333399999999873</c:v>
                </c:pt>
                <c:pt idx="64">
                  <c:v>3.3333999999998198E-2</c:v>
                </c:pt>
                <c:pt idx="65">
                  <c:v>-6.666699999999981E-2</c:v>
                </c:pt>
                <c:pt idx="66">
                  <c:v>-3.3332999999999835E-2</c:v>
                </c:pt>
                <c:pt idx="67">
                  <c:v>-0.29516899999999957</c:v>
                </c:pt>
                <c:pt idx="68">
                  <c:v>-8.7521999999998989E-2</c:v>
                </c:pt>
                <c:pt idx="69">
                  <c:v>-0.21670600000000206</c:v>
                </c:pt>
                <c:pt idx="70">
                  <c:v>3.2730000000000814E-2</c:v>
                </c:pt>
                <c:pt idx="71">
                  <c:v>3.3332999999999835E-2</c:v>
                </c:pt>
                <c:pt idx="72">
                  <c:v>-9.9999999999999645E-2</c:v>
                </c:pt>
                <c:pt idx="73">
                  <c:v>-0.13333300000000037</c:v>
                </c:pt>
                <c:pt idx="74">
                  <c:v>-0.13333300000000037</c:v>
                </c:pt>
                <c:pt idx="75">
                  <c:v>3.3333000000000723E-2</c:v>
                </c:pt>
                <c:pt idx="76">
                  <c:v>-0.10000000000000053</c:v>
                </c:pt>
                <c:pt idx="77">
                  <c:v>-0.16666699999999945</c:v>
                </c:pt>
                <c:pt idx="78">
                  <c:v>-6.6666000000000558E-2</c:v>
                </c:pt>
                <c:pt idx="79">
                  <c:v>-0.26666699999999999</c:v>
                </c:pt>
                <c:pt idx="80">
                  <c:v>0</c:v>
                </c:pt>
                <c:pt idx="81">
                  <c:v>-6.666699999999981E-2</c:v>
                </c:pt>
                <c:pt idx="82">
                  <c:v>-0.13333299999999992</c:v>
                </c:pt>
                <c:pt idx="83">
                  <c:v>6.666699999999981E-2</c:v>
                </c:pt>
                <c:pt idx="84">
                  <c:v>-0.1666669999999999</c:v>
                </c:pt>
                <c:pt idx="85">
                  <c:v>0</c:v>
                </c:pt>
                <c:pt idx="86">
                  <c:v>-6.666699999999981E-2</c:v>
                </c:pt>
                <c:pt idx="87">
                  <c:v>-3.3333000000000279E-2</c:v>
                </c:pt>
                <c:pt idx="88">
                  <c:v>-6.666699999999981E-2</c:v>
                </c:pt>
                <c:pt idx="89">
                  <c:v>-0.13333299999999992</c:v>
                </c:pt>
                <c:pt idx="90">
                  <c:v>-3.3333000000000279E-2</c:v>
                </c:pt>
                <c:pt idx="91">
                  <c:v>-0.13333400000000006</c:v>
                </c:pt>
                <c:pt idx="92">
                  <c:v>0</c:v>
                </c:pt>
                <c:pt idx="93">
                  <c:v>-6.666599999999967E-2</c:v>
                </c:pt>
                <c:pt idx="94">
                  <c:v>-0.13333400000000006</c:v>
                </c:pt>
                <c:pt idx="95">
                  <c:v>-0.1666660000000002</c:v>
                </c:pt>
                <c:pt idx="96">
                  <c:v>-0.1666669999999999</c:v>
                </c:pt>
                <c:pt idx="97">
                  <c:v>6.666699999999981E-2</c:v>
                </c:pt>
                <c:pt idx="98">
                  <c:v>3.3333000000000279E-2</c:v>
                </c:pt>
                <c:pt idx="99">
                  <c:v>0</c:v>
                </c:pt>
                <c:pt idx="100">
                  <c:v>-0.10000000000000009</c:v>
                </c:pt>
                <c:pt idx="101">
                  <c:v>-0.13333299999999992</c:v>
                </c:pt>
                <c:pt idx="102">
                  <c:v>3.3332999999999835E-2</c:v>
                </c:pt>
                <c:pt idx="103">
                  <c:v>0.1666669999999999</c:v>
                </c:pt>
                <c:pt idx="104">
                  <c:v>0.30000000000000027</c:v>
                </c:pt>
                <c:pt idx="105">
                  <c:v>0.23333300000000001</c:v>
                </c:pt>
                <c:pt idx="106">
                  <c:v>0.13333299999999992</c:v>
                </c:pt>
                <c:pt idx="107">
                  <c:v>-0.20000000000000018</c:v>
                </c:pt>
                <c:pt idx="108">
                  <c:v>0</c:v>
                </c:pt>
                <c:pt idx="109">
                  <c:v>-0.13333299999999992</c:v>
                </c:pt>
                <c:pt idx="110">
                  <c:v>0</c:v>
                </c:pt>
                <c:pt idx="111">
                  <c:v>-6.666699999999981E-2</c:v>
                </c:pt>
                <c:pt idx="112">
                  <c:v>-6.6666000000000114E-2</c:v>
                </c:pt>
                <c:pt idx="113">
                  <c:v>-3.3333999999999975E-2</c:v>
                </c:pt>
                <c:pt idx="114">
                  <c:v>-3.3332999999999835E-2</c:v>
                </c:pt>
                <c:pt idx="115">
                  <c:v>3.3332999999999835E-2</c:v>
                </c:pt>
                <c:pt idx="116">
                  <c:v>-3.3332999999999835E-2</c:v>
                </c:pt>
                <c:pt idx="117">
                  <c:v>3.3332999999999835E-2</c:v>
                </c:pt>
                <c:pt idx="118">
                  <c:v>-6.6666000000000114E-2</c:v>
                </c:pt>
                <c:pt idx="119">
                  <c:v>3.3333000000000279E-2</c:v>
                </c:pt>
                <c:pt idx="120">
                  <c:v>3.3332999999999835E-2</c:v>
                </c:pt>
                <c:pt idx="121">
                  <c:v>-6.6666000000000114E-2</c:v>
                </c:pt>
                <c:pt idx="122">
                  <c:v>-6.666699999999981E-2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ΔU. Rate</c:v>
                </c15:tx>
              </c15:filteredSeriesTitle>
            </c:ext>
            <c:ext xmlns:c16="http://schemas.microsoft.com/office/drawing/2014/chart" uri="{C3380CC4-5D6E-409C-BE32-E72D297353CC}">
              <c16:uniqueId val="{00000004-923E-5B43-98A1-2D69DFFC8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08063"/>
        <c:axId val="123409791"/>
      </c:scatterChart>
      <c:valAx>
        <c:axId val="123408063"/>
        <c:scaling>
          <c:orientation val="minMax"/>
          <c:max val="3.5"/>
          <c:min val="-2.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GDP Growth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123409791"/>
        <c:crosses val="autoZero"/>
        <c:crossBetween val="midCat"/>
      </c:valAx>
      <c:valAx>
        <c:axId val="123409791"/>
        <c:scaling>
          <c:orientation val="minMax"/>
          <c:max val="0.45"/>
          <c:min val="-0.3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</a:t>
                </a:r>
                <a:r>
                  <a:rPr lang="en-US"/>
                  <a:t>U. Rate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123408063"/>
        <c:crosses val="autoZero"/>
        <c:crossBetween val="midCat"/>
        <c:majorUnit val="0.1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'Okun''s Law ANOVA Table'!$F$25:$F$147</c:f>
              <c:numCache>
                <c:formatCode>General</c:formatCode>
                <c:ptCount val="123"/>
                <c:pt idx="0">
                  <c:v>0.4065040650406504</c:v>
                </c:pt>
                <c:pt idx="1">
                  <c:v>1.2195121951219512</c:v>
                </c:pt>
                <c:pt idx="2">
                  <c:v>2.0325203252032518</c:v>
                </c:pt>
                <c:pt idx="3">
                  <c:v>2.845528455284553</c:v>
                </c:pt>
                <c:pt idx="4">
                  <c:v>3.6585365853658534</c:v>
                </c:pt>
                <c:pt idx="5">
                  <c:v>4.4715447154471537</c:v>
                </c:pt>
                <c:pt idx="6">
                  <c:v>5.2845528455284549</c:v>
                </c:pt>
                <c:pt idx="7">
                  <c:v>6.0975609756097562</c:v>
                </c:pt>
                <c:pt idx="8">
                  <c:v>6.9105691056910565</c:v>
                </c:pt>
                <c:pt idx="9">
                  <c:v>7.7235772357723569</c:v>
                </c:pt>
                <c:pt idx="10">
                  <c:v>8.5365853658536572</c:v>
                </c:pt>
                <c:pt idx="11">
                  <c:v>9.3495934959349594</c:v>
                </c:pt>
                <c:pt idx="12">
                  <c:v>10.16260162601626</c:v>
                </c:pt>
                <c:pt idx="13">
                  <c:v>10.97560975609756</c:v>
                </c:pt>
                <c:pt idx="14">
                  <c:v>11.788617886178862</c:v>
                </c:pt>
                <c:pt idx="15">
                  <c:v>12.601626016260163</c:v>
                </c:pt>
                <c:pt idx="16">
                  <c:v>13.414634146341463</c:v>
                </c:pt>
                <c:pt idx="17">
                  <c:v>14.227642276422763</c:v>
                </c:pt>
                <c:pt idx="18">
                  <c:v>15.040650406504064</c:v>
                </c:pt>
                <c:pt idx="19">
                  <c:v>15.853658536585366</c:v>
                </c:pt>
                <c:pt idx="20">
                  <c:v>16.666666666666664</c:v>
                </c:pt>
                <c:pt idx="21">
                  <c:v>17.479674796747968</c:v>
                </c:pt>
                <c:pt idx="22">
                  <c:v>18.292682926829269</c:v>
                </c:pt>
                <c:pt idx="23">
                  <c:v>19.105691056910569</c:v>
                </c:pt>
                <c:pt idx="24">
                  <c:v>19.918699186991869</c:v>
                </c:pt>
                <c:pt idx="25">
                  <c:v>20.73170731707317</c:v>
                </c:pt>
                <c:pt idx="26">
                  <c:v>21.54471544715447</c:v>
                </c:pt>
                <c:pt idx="27">
                  <c:v>22.35772357723577</c:v>
                </c:pt>
                <c:pt idx="28">
                  <c:v>23.170731707317074</c:v>
                </c:pt>
                <c:pt idx="29">
                  <c:v>23.983739837398375</c:v>
                </c:pt>
                <c:pt idx="30">
                  <c:v>24.796747967479675</c:v>
                </c:pt>
                <c:pt idx="31">
                  <c:v>25.609756097560975</c:v>
                </c:pt>
                <c:pt idx="32">
                  <c:v>26.422764227642276</c:v>
                </c:pt>
                <c:pt idx="33">
                  <c:v>27.235772357723576</c:v>
                </c:pt>
                <c:pt idx="34">
                  <c:v>28.048780487804876</c:v>
                </c:pt>
                <c:pt idx="35">
                  <c:v>28.861788617886177</c:v>
                </c:pt>
                <c:pt idx="36">
                  <c:v>29.674796747967477</c:v>
                </c:pt>
                <c:pt idx="37">
                  <c:v>30.487804878048781</c:v>
                </c:pt>
                <c:pt idx="38">
                  <c:v>31.300813008130081</c:v>
                </c:pt>
                <c:pt idx="39">
                  <c:v>32.113821138211385</c:v>
                </c:pt>
                <c:pt idx="40">
                  <c:v>32.926829268292678</c:v>
                </c:pt>
                <c:pt idx="41">
                  <c:v>33.739837398373986</c:v>
                </c:pt>
                <c:pt idx="42">
                  <c:v>34.552845528455286</c:v>
                </c:pt>
                <c:pt idx="43">
                  <c:v>35.365853658536587</c:v>
                </c:pt>
                <c:pt idx="44">
                  <c:v>36.178861788617887</c:v>
                </c:pt>
                <c:pt idx="45">
                  <c:v>36.991869918699187</c:v>
                </c:pt>
                <c:pt idx="46">
                  <c:v>37.804878048780488</c:v>
                </c:pt>
                <c:pt idx="47">
                  <c:v>38.617886178861788</c:v>
                </c:pt>
                <c:pt idx="48">
                  <c:v>39.430894308943088</c:v>
                </c:pt>
                <c:pt idx="49">
                  <c:v>40.243902439024389</c:v>
                </c:pt>
                <c:pt idx="50">
                  <c:v>41.056910569105689</c:v>
                </c:pt>
                <c:pt idx="51">
                  <c:v>41.869918699186989</c:v>
                </c:pt>
                <c:pt idx="52">
                  <c:v>42.68292682926829</c:v>
                </c:pt>
                <c:pt idx="53">
                  <c:v>43.49593495934959</c:v>
                </c:pt>
                <c:pt idx="54">
                  <c:v>44.30894308943089</c:v>
                </c:pt>
                <c:pt idx="55">
                  <c:v>45.121951219512191</c:v>
                </c:pt>
                <c:pt idx="56">
                  <c:v>45.934959349593498</c:v>
                </c:pt>
                <c:pt idx="57">
                  <c:v>46.747967479674799</c:v>
                </c:pt>
                <c:pt idx="58">
                  <c:v>47.560975609756099</c:v>
                </c:pt>
                <c:pt idx="59">
                  <c:v>48.373983739837399</c:v>
                </c:pt>
                <c:pt idx="60">
                  <c:v>49.1869918699187</c:v>
                </c:pt>
                <c:pt idx="61">
                  <c:v>50</c:v>
                </c:pt>
                <c:pt idx="62">
                  <c:v>50.8130081300813</c:v>
                </c:pt>
                <c:pt idx="63">
                  <c:v>51.626016260162601</c:v>
                </c:pt>
                <c:pt idx="64">
                  <c:v>52.439024390243901</c:v>
                </c:pt>
                <c:pt idx="65">
                  <c:v>53.252032520325201</c:v>
                </c:pt>
                <c:pt idx="66">
                  <c:v>54.065040650406502</c:v>
                </c:pt>
                <c:pt idx="67">
                  <c:v>54.878048780487802</c:v>
                </c:pt>
                <c:pt idx="68">
                  <c:v>55.691056910569102</c:v>
                </c:pt>
                <c:pt idx="69">
                  <c:v>56.504065040650403</c:v>
                </c:pt>
                <c:pt idx="70">
                  <c:v>57.317073170731703</c:v>
                </c:pt>
                <c:pt idx="71">
                  <c:v>58.130081300813004</c:v>
                </c:pt>
                <c:pt idx="72">
                  <c:v>58.943089430894304</c:v>
                </c:pt>
                <c:pt idx="73">
                  <c:v>59.756097560975611</c:v>
                </c:pt>
                <c:pt idx="74">
                  <c:v>60.569105691056912</c:v>
                </c:pt>
                <c:pt idx="75">
                  <c:v>61.382113821138212</c:v>
                </c:pt>
                <c:pt idx="76">
                  <c:v>62.195121951219512</c:v>
                </c:pt>
                <c:pt idx="77">
                  <c:v>63.008130081300813</c:v>
                </c:pt>
                <c:pt idx="78">
                  <c:v>63.821138211382113</c:v>
                </c:pt>
                <c:pt idx="79">
                  <c:v>64.634146341463406</c:v>
                </c:pt>
                <c:pt idx="80">
                  <c:v>65.447154471544707</c:v>
                </c:pt>
                <c:pt idx="81">
                  <c:v>66.260162601626021</c:v>
                </c:pt>
                <c:pt idx="82">
                  <c:v>67.073170731707322</c:v>
                </c:pt>
                <c:pt idx="83">
                  <c:v>67.886178861788622</c:v>
                </c:pt>
                <c:pt idx="84">
                  <c:v>68.699186991869922</c:v>
                </c:pt>
                <c:pt idx="85">
                  <c:v>69.512195121951223</c:v>
                </c:pt>
                <c:pt idx="86">
                  <c:v>70.325203252032523</c:v>
                </c:pt>
                <c:pt idx="87">
                  <c:v>71.138211382113823</c:v>
                </c:pt>
                <c:pt idx="88">
                  <c:v>71.951219512195124</c:v>
                </c:pt>
                <c:pt idx="89">
                  <c:v>72.764227642276424</c:v>
                </c:pt>
                <c:pt idx="90">
                  <c:v>73.577235772357724</c:v>
                </c:pt>
                <c:pt idx="91">
                  <c:v>74.390243902439025</c:v>
                </c:pt>
                <c:pt idx="92">
                  <c:v>75.203252032520325</c:v>
                </c:pt>
                <c:pt idx="93">
                  <c:v>76.016260162601625</c:v>
                </c:pt>
                <c:pt idx="94">
                  <c:v>76.829268292682926</c:v>
                </c:pt>
                <c:pt idx="95">
                  <c:v>77.642276422764226</c:v>
                </c:pt>
                <c:pt idx="96">
                  <c:v>78.455284552845526</c:v>
                </c:pt>
                <c:pt idx="97">
                  <c:v>79.268292682926827</c:v>
                </c:pt>
                <c:pt idx="98">
                  <c:v>80.081300813008127</c:v>
                </c:pt>
                <c:pt idx="99">
                  <c:v>80.894308943089428</c:v>
                </c:pt>
                <c:pt idx="100">
                  <c:v>81.707317073170728</c:v>
                </c:pt>
                <c:pt idx="101">
                  <c:v>82.520325203252028</c:v>
                </c:pt>
                <c:pt idx="102">
                  <c:v>83.333333333333329</c:v>
                </c:pt>
                <c:pt idx="103">
                  <c:v>84.146341463414629</c:v>
                </c:pt>
                <c:pt idx="104">
                  <c:v>84.959349593495929</c:v>
                </c:pt>
                <c:pt idx="105">
                  <c:v>85.77235772357723</c:v>
                </c:pt>
                <c:pt idx="106">
                  <c:v>86.58536585365853</c:v>
                </c:pt>
                <c:pt idx="107">
                  <c:v>87.39837398373983</c:v>
                </c:pt>
                <c:pt idx="108">
                  <c:v>88.211382113821131</c:v>
                </c:pt>
                <c:pt idx="109">
                  <c:v>89.024390243902431</c:v>
                </c:pt>
                <c:pt idx="110">
                  <c:v>89.837398373983731</c:v>
                </c:pt>
                <c:pt idx="111">
                  <c:v>90.650406504065032</c:v>
                </c:pt>
                <c:pt idx="112">
                  <c:v>91.463414634146346</c:v>
                </c:pt>
                <c:pt idx="113">
                  <c:v>92.276422764227647</c:v>
                </c:pt>
                <c:pt idx="114">
                  <c:v>93.089430894308947</c:v>
                </c:pt>
                <c:pt idx="115">
                  <c:v>93.902439024390247</c:v>
                </c:pt>
                <c:pt idx="116">
                  <c:v>94.715447154471548</c:v>
                </c:pt>
                <c:pt idx="117">
                  <c:v>95.528455284552848</c:v>
                </c:pt>
                <c:pt idx="118">
                  <c:v>96.341463414634148</c:v>
                </c:pt>
                <c:pt idx="119">
                  <c:v>97.154471544715449</c:v>
                </c:pt>
                <c:pt idx="120">
                  <c:v>97.967479674796749</c:v>
                </c:pt>
                <c:pt idx="121">
                  <c:v>98.780487804878049</c:v>
                </c:pt>
                <c:pt idx="122">
                  <c:v>99.59349593495935</c:v>
                </c:pt>
              </c:numCache>
            </c:numRef>
          </c:xVal>
          <c:yVal>
            <c:numRef>
              <c:f>'Okun''s Law ANOVA Table'!$G$25:$G$147</c:f>
              <c:numCache>
                <c:formatCode>General</c:formatCode>
                <c:ptCount val="123"/>
                <c:pt idx="0">
                  <c:v>-0.30000000000000027</c:v>
                </c:pt>
                <c:pt idx="1">
                  <c:v>-0.29999999999999893</c:v>
                </c:pt>
                <c:pt idx="2">
                  <c:v>-0.29516899999999957</c:v>
                </c:pt>
                <c:pt idx="3">
                  <c:v>-0.26666699999999999</c:v>
                </c:pt>
                <c:pt idx="4">
                  <c:v>-0.26666699999999821</c:v>
                </c:pt>
                <c:pt idx="5">
                  <c:v>-0.23333400000000015</c:v>
                </c:pt>
                <c:pt idx="6">
                  <c:v>-0.21670600000000206</c:v>
                </c:pt>
                <c:pt idx="7">
                  <c:v>-0.20000000000000018</c:v>
                </c:pt>
                <c:pt idx="8">
                  <c:v>-0.1999999999999984</c:v>
                </c:pt>
                <c:pt idx="9">
                  <c:v>-0.1666669999999999</c:v>
                </c:pt>
                <c:pt idx="10">
                  <c:v>-0.1666669999999999</c:v>
                </c:pt>
                <c:pt idx="11">
                  <c:v>-0.16666699999999945</c:v>
                </c:pt>
                <c:pt idx="12">
                  <c:v>-0.16666699999999945</c:v>
                </c:pt>
                <c:pt idx="13">
                  <c:v>-0.1666660000000002</c:v>
                </c:pt>
                <c:pt idx="14">
                  <c:v>-0.13333400000000006</c:v>
                </c:pt>
                <c:pt idx="15">
                  <c:v>-0.13333400000000006</c:v>
                </c:pt>
                <c:pt idx="16">
                  <c:v>-0.13333399999999962</c:v>
                </c:pt>
                <c:pt idx="17">
                  <c:v>-0.13333399999999873</c:v>
                </c:pt>
                <c:pt idx="18">
                  <c:v>-0.13333300000000037</c:v>
                </c:pt>
                <c:pt idx="19">
                  <c:v>-0.13333300000000037</c:v>
                </c:pt>
                <c:pt idx="20">
                  <c:v>-0.13333300000000037</c:v>
                </c:pt>
                <c:pt idx="21">
                  <c:v>-0.13333300000000037</c:v>
                </c:pt>
                <c:pt idx="22">
                  <c:v>-0.13333300000000037</c:v>
                </c:pt>
                <c:pt idx="23">
                  <c:v>-0.13333299999999992</c:v>
                </c:pt>
                <c:pt idx="24">
                  <c:v>-0.13333299999999992</c:v>
                </c:pt>
                <c:pt idx="25">
                  <c:v>-0.13333299999999992</c:v>
                </c:pt>
                <c:pt idx="26">
                  <c:v>-0.13333299999999992</c:v>
                </c:pt>
                <c:pt idx="27">
                  <c:v>-0.10000000000000053</c:v>
                </c:pt>
                <c:pt idx="28">
                  <c:v>-0.10000000000000009</c:v>
                </c:pt>
                <c:pt idx="29">
                  <c:v>-9.9999999999999645E-2</c:v>
                </c:pt>
                <c:pt idx="30">
                  <c:v>-9.9999999999999645E-2</c:v>
                </c:pt>
                <c:pt idx="31">
                  <c:v>-9.9999999999999645E-2</c:v>
                </c:pt>
                <c:pt idx="32">
                  <c:v>-9.9999999999999645E-2</c:v>
                </c:pt>
                <c:pt idx="33">
                  <c:v>-8.7521999999998989E-2</c:v>
                </c:pt>
                <c:pt idx="34">
                  <c:v>-6.666699999999981E-2</c:v>
                </c:pt>
                <c:pt idx="35">
                  <c:v>-6.666699999999981E-2</c:v>
                </c:pt>
                <c:pt idx="36">
                  <c:v>-6.666699999999981E-2</c:v>
                </c:pt>
                <c:pt idx="37">
                  <c:v>-6.666699999999981E-2</c:v>
                </c:pt>
                <c:pt idx="38">
                  <c:v>-6.666699999999981E-2</c:v>
                </c:pt>
                <c:pt idx="39">
                  <c:v>-6.666699999999981E-2</c:v>
                </c:pt>
                <c:pt idx="40">
                  <c:v>-6.666699999999981E-2</c:v>
                </c:pt>
                <c:pt idx="41">
                  <c:v>-6.6666999999998922E-2</c:v>
                </c:pt>
                <c:pt idx="42">
                  <c:v>-6.6666000000000558E-2</c:v>
                </c:pt>
                <c:pt idx="43">
                  <c:v>-6.6666000000000114E-2</c:v>
                </c:pt>
                <c:pt idx="44">
                  <c:v>-6.6666000000000114E-2</c:v>
                </c:pt>
                <c:pt idx="45">
                  <c:v>-6.6666000000000114E-2</c:v>
                </c:pt>
                <c:pt idx="46">
                  <c:v>-6.666599999999967E-2</c:v>
                </c:pt>
                <c:pt idx="47">
                  <c:v>-3.3333999999999975E-2</c:v>
                </c:pt>
                <c:pt idx="48">
                  <c:v>-3.3333999999999975E-2</c:v>
                </c:pt>
                <c:pt idx="49">
                  <c:v>-3.3333999999999975E-2</c:v>
                </c:pt>
                <c:pt idx="50">
                  <c:v>-3.3333999999999975E-2</c:v>
                </c:pt>
                <c:pt idx="51">
                  <c:v>-3.3333000000001611E-2</c:v>
                </c:pt>
                <c:pt idx="52">
                  <c:v>-3.3333000000000723E-2</c:v>
                </c:pt>
                <c:pt idx="53">
                  <c:v>-3.3333000000000723E-2</c:v>
                </c:pt>
                <c:pt idx="54">
                  <c:v>-3.3333000000000279E-2</c:v>
                </c:pt>
                <c:pt idx="55">
                  <c:v>-3.3333000000000279E-2</c:v>
                </c:pt>
                <c:pt idx="56">
                  <c:v>-3.3332999999999835E-2</c:v>
                </c:pt>
                <c:pt idx="57">
                  <c:v>-3.3332999999999835E-2</c:v>
                </c:pt>
                <c:pt idx="58">
                  <c:v>-3.3332999999999835E-2</c:v>
                </c:pt>
                <c:pt idx="59">
                  <c:v>-3.3332999999999835E-2</c:v>
                </c:pt>
                <c:pt idx="60">
                  <c:v>-3.3332999999999835E-2</c:v>
                </c:pt>
                <c:pt idx="61">
                  <c:v>-3.3332999999999835E-2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3.2730000000000814E-2</c:v>
                </c:pt>
                <c:pt idx="73">
                  <c:v>3.3332999999999835E-2</c:v>
                </c:pt>
                <c:pt idx="74">
                  <c:v>3.3332999999999835E-2</c:v>
                </c:pt>
                <c:pt idx="75">
                  <c:v>3.3332999999999835E-2</c:v>
                </c:pt>
                <c:pt idx="76">
                  <c:v>3.3332999999999835E-2</c:v>
                </c:pt>
                <c:pt idx="77">
                  <c:v>3.3332999999999835E-2</c:v>
                </c:pt>
                <c:pt idx="78">
                  <c:v>3.3332999999999835E-2</c:v>
                </c:pt>
                <c:pt idx="79">
                  <c:v>3.3332999999999835E-2</c:v>
                </c:pt>
                <c:pt idx="80">
                  <c:v>3.3332999999999835E-2</c:v>
                </c:pt>
                <c:pt idx="81">
                  <c:v>3.3333000000000279E-2</c:v>
                </c:pt>
                <c:pt idx="82">
                  <c:v>3.3333000000000279E-2</c:v>
                </c:pt>
                <c:pt idx="83">
                  <c:v>3.3333000000000723E-2</c:v>
                </c:pt>
                <c:pt idx="84">
                  <c:v>3.3333999999998198E-2</c:v>
                </c:pt>
                <c:pt idx="85">
                  <c:v>3.3333999999998198E-2</c:v>
                </c:pt>
                <c:pt idx="86">
                  <c:v>3.3333999999999975E-2</c:v>
                </c:pt>
                <c:pt idx="87">
                  <c:v>3.3333999999999975E-2</c:v>
                </c:pt>
                <c:pt idx="88">
                  <c:v>3.3333999999999975E-2</c:v>
                </c:pt>
                <c:pt idx="89">
                  <c:v>6.6666000000000558E-2</c:v>
                </c:pt>
                <c:pt idx="90">
                  <c:v>6.6666000000000558E-2</c:v>
                </c:pt>
                <c:pt idx="91">
                  <c:v>6.6666999999998922E-2</c:v>
                </c:pt>
                <c:pt idx="92">
                  <c:v>6.666699999999981E-2</c:v>
                </c:pt>
                <c:pt idx="93">
                  <c:v>6.666699999999981E-2</c:v>
                </c:pt>
                <c:pt idx="94">
                  <c:v>6.666699999999981E-2</c:v>
                </c:pt>
                <c:pt idx="95">
                  <c:v>6.666699999999981E-2</c:v>
                </c:pt>
                <c:pt idx="96">
                  <c:v>6.666699999999981E-2</c:v>
                </c:pt>
                <c:pt idx="97">
                  <c:v>0.10000000000000009</c:v>
                </c:pt>
                <c:pt idx="98">
                  <c:v>0.10000000000000009</c:v>
                </c:pt>
                <c:pt idx="99">
                  <c:v>0.10000000000000053</c:v>
                </c:pt>
                <c:pt idx="100">
                  <c:v>0.10000000000000142</c:v>
                </c:pt>
                <c:pt idx="101">
                  <c:v>0.13333299999999992</c:v>
                </c:pt>
                <c:pt idx="102">
                  <c:v>0.13333299999999992</c:v>
                </c:pt>
                <c:pt idx="103">
                  <c:v>0.13333300000000037</c:v>
                </c:pt>
                <c:pt idx="104">
                  <c:v>0.13333300000000037</c:v>
                </c:pt>
                <c:pt idx="105">
                  <c:v>0.13333399999999962</c:v>
                </c:pt>
                <c:pt idx="106">
                  <c:v>0.13333399999999962</c:v>
                </c:pt>
                <c:pt idx="107">
                  <c:v>0.13333400000000006</c:v>
                </c:pt>
                <c:pt idx="108">
                  <c:v>0.1666660000000002</c:v>
                </c:pt>
                <c:pt idx="109">
                  <c:v>0.1666660000000002</c:v>
                </c:pt>
                <c:pt idx="110">
                  <c:v>0.16666699999999857</c:v>
                </c:pt>
                <c:pt idx="111">
                  <c:v>0.1666669999999999</c:v>
                </c:pt>
                <c:pt idx="112">
                  <c:v>0.16666700000000034</c:v>
                </c:pt>
                <c:pt idx="113">
                  <c:v>0.19999999999999929</c:v>
                </c:pt>
                <c:pt idx="114">
                  <c:v>0.20000000000000018</c:v>
                </c:pt>
                <c:pt idx="115">
                  <c:v>0.23333300000000001</c:v>
                </c:pt>
                <c:pt idx="116">
                  <c:v>0.23333300000000001</c:v>
                </c:pt>
                <c:pt idx="117">
                  <c:v>0.29999999999999982</c:v>
                </c:pt>
                <c:pt idx="118">
                  <c:v>0.30000000000000027</c:v>
                </c:pt>
                <c:pt idx="119">
                  <c:v>0.33333399999999713</c:v>
                </c:pt>
                <c:pt idx="120">
                  <c:v>0.39999999999999991</c:v>
                </c:pt>
                <c:pt idx="121">
                  <c:v>0.53333299999999983</c:v>
                </c:pt>
                <c:pt idx="122">
                  <c:v>0.53333300000000161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74-5642-8F5E-B533F9E77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14031"/>
        <c:axId val="123415759"/>
      </c:scatterChart>
      <c:valAx>
        <c:axId val="123414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415759"/>
        <c:crosses val="autoZero"/>
        <c:crossBetween val="midCat"/>
      </c:valAx>
      <c:valAx>
        <c:axId val="1234157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</a:t>
                </a:r>
                <a:r>
                  <a:rPr lang="en-US"/>
                  <a:t>U.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414031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l-GR"/>
              <a:t>Δ</a:t>
            </a:r>
            <a:r>
              <a:rPr lang="en-US"/>
              <a:t>U. Rate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DATA!$M$3:$M$111</c:f>
              <c:numCache>
                <c:formatCode>0.0000000</c:formatCode>
                <c:ptCount val="109"/>
                <c:pt idx="0">
                  <c:v>-3.3333999999999975E-2</c:v>
                </c:pt>
                <c:pt idx="1">
                  <c:v>0.13333399999999962</c:v>
                </c:pt>
                <c:pt idx="2">
                  <c:v>-3.3333999999999975E-2</c:v>
                </c:pt>
                <c:pt idx="3">
                  <c:v>0.10000000000000009</c:v>
                </c:pt>
                <c:pt idx="4">
                  <c:v>3.3333999999999975E-2</c:v>
                </c:pt>
                <c:pt idx="5">
                  <c:v>0.1666660000000002</c:v>
                </c:pt>
                <c:pt idx="6">
                  <c:v>0.10000000000000009</c:v>
                </c:pt>
                <c:pt idx="7">
                  <c:v>6.666699999999981E-2</c:v>
                </c:pt>
                <c:pt idx="8">
                  <c:v>3.3332999999999835E-2</c:v>
                </c:pt>
                <c:pt idx="9">
                  <c:v>-9.9999999999999645E-2</c:v>
                </c:pt>
                <c:pt idx="10">
                  <c:v>3.3333999999999975E-2</c:v>
                </c:pt>
                <c:pt idx="11">
                  <c:v>0</c:v>
                </c:pt>
                <c:pt idx="12">
                  <c:v>3.3332999999999835E-2</c:v>
                </c:pt>
                <c:pt idx="13">
                  <c:v>3.3332999999999835E-2</c:v>
                </c:pt>
                <c:pt idx="14">
                  <c:v>0.13333400000000006</c:v>
                </c:pt>
                <c:pt idx="15">
                  <c:v>0.1666660000000002</c:v>
                </c:pt>
                <c:pt idx="16">
                  <c:v>0.39999999999999991</c:v>
                </c:pt>
                <c:pt idx="17">
                  <c:v>0.16666700000000034</c:v>
                </c:pt>
                <c:pt idx="18">
                  <c:v>0.19999999999999929</c:v>
                </c:pt>
                <c:pt idx="19">
                  <c:v>0.20000000000000018</c:v>
                </c:pt>
                <c:pt idx="20">
                  <c:v>0.13333300000000037</c:v>
                </c:pt>
                <c:pt idx="21">
                  <c:v>-3.3332999999999835E-2</c:v>
                </c:pt>
                <c:pt idx="22">
                  <c:v>-3.3333000000000723E-2</c:v>
                </c:pt>
                <c:pt idx="23">
                  <c:v>0.13333300000000037</c:v>
                </c:pt>
                <c:pt idx="24">
                  <c:v>-9.9999999999999645E-2</c:v>
                </c:pt>
                <c:pt idx="25">
                  <c:v>-3.3333000000000723E-2</c:v>
                </c:pt>
                <c:pt idx="26">
                  <c:v>0.10000000000000053</c:v>
                </c:pt>
                <c:pt idx="27">
                  <c:v>-3.3333999999999975E-2</c:v>
                </c:pt>
                <c:pt idx="28">
                  <c:v>0.13333399999999962</c:v>
                </c:pt>
                <c:pt idx="29">
                  <c:v>0.29999999999999982</c:v>
                </c:pt>
                <c:pt idx="30">
                  <c:v>0.23333300000000001</c:v>
                </c:pt>
                <c:pt idx="31">
                  <c:v>-3.3332999999999835E-2</c:v>
                </c:pt>
                <c:pt idx="32">
                  <c:v>6.6666000000000558E-2</c:v>
                </c:pt>
                <c:pt idx="33">
                  <c:v>6.666699999999981E-2</c:v>
                </c:pt>
                <c:pt idx="34">
                  <c:v>-0.13333300000000037</c:v>
                </c:pt>
                <c:pt idx="35">
                  <c:v>6.6666000000000558E-2</c:v>
                </c:pt>
                <c:pt idx="36">
                  <c:v>3.3333999999998198E-2</c:v>
                </c:pt>
                <c:pt idx="37">
                  <c:v>-0.29999999999999893</c:v>
                </c:pt>
                <c:pt idx="38">
                  <c:v>-0.13333399999999962</c:v>
                </c:pt>
                <c:pt idx="39">
                  <c:v>-0.13333300000000037</c:v>
                </c:pt>
                <c:pt idx="40">
                  <c:v>-0.16666699999999945</c:v>
                </c:pt>
                <c:pt idx="41">
                  <c:v>3.3333999999999975E-2</c:v>
                </c:pt>
                <c:pt idx="42">
                  <c:v>-0.23333400000000015</c:v>
                </c:pt>
                <c:pt idx="43">
                  <c:v>0</c:v>
                </c:pt>
                <c:pt idx="44">
                  <c:v>-9.9999999999999645E-2</c:v>
                </c:pt>
                <c:pt idx="45">
                  <c:v>-0.13333300000000037</c:v>
                </c:pt>
                <c:pt idx="46">
                  <c:v>0.16666699999999857</c:v>
                </c:pt>
                <c:pt idx="47">
                  <c:v>-0.26666699999999821</c:v>
                </c:pt>
                <c:pt idx="48">
                  <c:v>-6.6666999999998922E-2</c:v>
                </c:pt>
                <c:pt idx="49">
                  <c:v>-3.3333000000001611E-2</c:v>
                </c:pt>
                <c:pt idx="50">
                  <c:v>-6.666699999999981E-2</c:v>
                </c:pt>
                <c:pt idx="51">
                  <c:v>-3.3332999999999835E-2</c:v>
                </c:pt>
                <c:pt idx="52">
                  <c:v>-0.30000000000000027</c:v>
                </c:pt>
                <c:pt idx="53">
                  <c:v>0</c:v>
                </c:pt>
                <c:pt idx="54">
                  <c:v>0.13333299999999992</c:v>
                </c:pt>
                <c:pt idx="55">
                  <c:v>6.666699999999981E-2</c:v>
                </c:pt>
                <c:pt idx="56">
                  <c:v>0</c:v>
                </c:pt>
                <c:pt idx="57">
                  <c:v>6.6666999999998922E-2</c:v>
                </c:pt>
                <c:pt idx="58">
                  <c:v>0.10000000000000142</c:v>
                </c:pt>
                <c:pt idx="59">
                  <c:v>0.53333299999999983</c:v>
                </c:pt>
                <c:pt idx="60">
                  <c:v>0.53333300000000161</c:v>
                </c:pt>
                <c:pt idx="61">
                  <c:v>0.33333399999999713</c:v>
                </c:pt>
                <c:pt idx="62">
                  <c:v>-0.1999999999999984</c:v>
                </c:pt>
                <c:pt idx="63">
                  <c:v>-0.13333399999999873</c:v>
                </c:pt>
                <c:pt idx="64">
                  <c:v>3.3333999999998198E-2</c:v>
                </c:pt>
                <c:pt idx="65">
                  <c:v>-6.666699999999981E-2</c:v>
                </c:pt>
                <c:pt idx="66">
                  <c:v>-3.3332999999999835E-2</c:v>
                </c:pt>
                <c:pt idx="67">
                  <c:v>-0.29516899999999957</c:v>
                </c:pt>
                <c:pt idx="68">
                  <c:v>-8.7521999999998989E-2</c:v>
                </c:pt>
                <c:pt idx="69">
                  <c:v>-0.21670600000000206</c:v>
                </c:pt>
                <c:pt idx="70">
                  <c:v>3.2730000000000814E-2</c:v>
                </c:pt>
                <c:pt idx="71">
                  <c:v>3.3332999999999835E-2</c:v>
                </c:pt>
                <c:pt idx="72">
                  <c:v>-9.9999999999999645E-2</c:v>
                </c:pt>
                <c:pt idx="73">
                  <c:v>-0.13333300000000037</c:v>
                </c:pt>
                <c:pt idx="74">
                  <c:v>-0.13333300000000037</c:v>
                </c:pt>
                <c:pt idx="75">
                  <c:v>3.3333000000000723E-2</c:v>
                </c:pt>
                <c:pt idx="76">
                  <c:v>-0.10000000000000053</c:v>
                </c:pt>
                <c:pt idx="77">
                  <c:v>-0.16666699999999945</c:v>
                </c:pt>
                <c:pt idx="78">
                  <c:v>-6.6666000000000558E-2</c:v>
                </c:pt>
                <c:pt idx="79">
                  <c:v>-0.26666699999999999</c:v>
                </c:pt>
                <c:pt idx="80">
                  <c:v>0</c:v>
                </c:pt>
                <c:pt idx="81">
                  <c:v>-6.666699999999981E-2</c:v>
                </c:pt>
                <c:pt idx="82">
                  <c:v>-0.13333299999999992</c:v>
                </c:pt>
                <c:pt idx="83">
                  <c:v>6.666699999999981E-2</c:v>
                </c:pt>
                <c:pt idx="84">
                  <c:v>-0.1666669999999999</c:v>
                </c:pt>
                <c:pt idx="85">
                  <c:v>0</c:v>
                </c:pt>
                <c:pt idx="86">
                  <c:v>-6.666699999999981E-2</c:v>
                </c:pt>
                <c:pt idx="87">
                  <c:v>-3.3333000000000279E-2</c:v>
                </c:pt>
                <c:pt idx="88">
                  <c:v>-6.666699999999981E-2</c:v>
                </c:pt>
                <c:pt idx="89">
                  <c:v>-0.13333299999999992</c:v>
                </c:pt>
                <c:pt idx="90">
                  <c:v>-3.3333000000000279E-2</c:v>
                </c:pt>
                <c:pt idx="91">
                  <c:v>-0.13333400000000006</c:v>
                </c:pt>
                <c:pt idx="92">
                  <c:v>0</c:v>
                </c:pt>
                <c:pt idx="93">
                  <c:v>-6.666599999999967E-2</c:v>
                </c:pt>
                <c:pt idx="94">
                  <c:v>-0.13333400000000006</c:v>
                </c:pt>
                <c:pt idx="95">
                  <c:v>-0.1666660000000002</c:v>
                </c:pt>
                <c:pt idx="96">
                  <c:v>-0.1666669999999999</c:v>
                </c:pt>
                <c:pt idx="97">
                  <c:v>6.666699999999981E-2</c:v>
                </c:pt>
                <c:pt idx="98">
                  <c:v>3.3333000000000279E-2</c:v>
                </c:pt>
                <c:pt idx="99">
                  <c:v>0</c:v>
                </c:pt>
                <c:pt idx="100">
                  <c:v>-0.10000000000000009</c:v>
                </c:pt>
                <c:pt idx="101">
                  <c:v>-0.13333299999999992</c:v>
                </c:pt>
                <c:pt idx="102">
                  <c:v>3.3332999999999835E-2</c:v>
                </c:pt>
                <c:pt idx="103">
                  <c:v>0.1666669999999999</c:v>
                </c:pt>
                <c:pt idx="104">
                  <c:v>0.30000000000000027</c:v>
                </c:pt>
                <c:pt idx="105">
                  <c:v>0.23333300000000001</c:v>
                </c:pt>
                <c:pt idx="106">
                  <c:v>0.13333299999999992</c:v>
                </c:pt>
                <c:pt idx="107">
                  <c:v>-0.20000000000000018</c:v>
                </c:pt>
                <c:pt idx="108">
                  <c:v>0</c:v>
                </c:pt>
              </c:numCache>
            </c:numRef>
          </c:xVal>
          <c:yVal>
            <c:numRef>
              <c:f>'PC ANOVA Table'!$C$25:$C$133</c:f>
              <c:numCache>
                <c:formatCode>General</c:formatCode>
                <c:ptCount val="109"/>
                <c:pt idx="0">
                  <c:v>-0.232942135117856</c:v>
                </c:pt>
                <c:pt idx="1">
                  <c:v>6.6543070743296198E-2</c:v>
                </c:pt>
                <c:pt idx="2">
                  <c:v>0.4211885025389418</c:v>
                </c:pt>
                <c:pt idx="3">
                  <c:v>-0.18217158289927241</c:v>
                </c:pt>
                <c:pt idx="4">
                  <c:v>-0.3128156792676422</c:v>
                </c:pt>
                <c:pt idx="5">
                  <c:v>5.1713515008798241E-2</c:v>
                </c:pt>
                <c:pt idx="6">
                  <c:v>-1.4281037237986384E-2</c:v>
                </c:pt>
                <c:pt idx="7">
                  <c:v>3.5665283160480024E-2</c:v>
                </c:pt>
                <c:pt idx="8">
                  <c:v>-4.7348518642540881E-2</c:v>
                </c:pt>
                <c:pt idx="9">
                  <c:v>0.12364354705477491</c:v>
                </c:pt>
                <c:pt idx="10">
                  <c:v>2.0096651786887458E-2</c:v>
                </c:pt>
                <c:pt idx="11">
                  <c:v>0.27319595356253729</c:v>
                </c:pt>
                <c:pt idx="12">
                  <c:v>1.4639002638637051</c:v>
                </c:pt>
                <c:pt idx="13">
                  <c:v>0.31726541967941607</c:v>
                </c:pt>
                <c:pt idx="14">
                  <c:v>2.4173098870478027E-3</c:v>
                </c:pt>
                <c:pt idx="15">
                  <c:v>0.28266362838522902</c:v>
                </c:pt>
                <c:pt idx="16">
                  <c:v>3.440734429984052E-2</c:v>
                </c:pt>
                <c:pt idx="17">
                  <c:v>-0.24495945065012217</c:v>
                </c:pt>
                <c:pt idx="18">
                  <c:v>0.79527135258818227</c:v>
                </c:pt>
                <c:pt idx="19">
                  <c:v>-0.35852703797046148</c:v>
                </c:pt>
                <c:pt idx="20">
                  <c:v>-0.19536702281876567</c:v>
                </c:pt>
                <c:pt idx="21">
                  <c:v>-0.11233515296904706</c:v>
                </c:pt>
                <c:pt idx="22">
                  <c:v>-0.34377696978939876</c:v>
                </c:pt>
                <c:pt idx="23">
                  <c:v>6.7060841380390826E-2</c:v>
                </c:pt>
                <c:pt idx="24">
                  <c:v>-0.27334447917116267</c:v>
                </c:pt>
                <c:pt idx="25">
                  <c:v>-0.20860249322683966</c:v>
                </c:pt>
                <c:pt idx="26">
                  <c:v>-0.11102493363145285</c:v>
                </c:pt>
                <c:pt idx="27">
                  <c:v>-7.8828816070845686E-2</c:v>
                </c:pt>
                <c:pt idx="28">
                  <c:v>-0.42063826271970539</c:v>
                </c:pt>
                <c:pt idx="29">
                  <c:v>-0.11203089117770341</c:v>
                </c:pt>
                <c:pt idx="30">
                  <c:v>-0.27639481630255391</c:v>
                </c:pt>
                <c:pt idx="31">
                  <c:v>-0.37543290533337703</c:v>
                </c:pt>
                <c:pt idx="32">
                  <c:v>3.5756129813804952E-2</c:v>
                </c:pt>
                <c:pt idx="33">
                  <c:v>-0.12932937687415919</c:v>
                </c:pt>
                <c:pt idx="34">
                  <c:v>-0.19442626889675529</c:v>
                </c:pt>
                <c:pt idx="35">
                  <c:v>-6.3454822587038648E-2</c:v>
                </c:pt>
                <c:pt idx="36">
                  <c:v>5.2622398113126925E-2</c:v>
                </c:pt>
                <c:pt idx="37">
                  <c:v>-0.30925590311602391</c:v>
                </c:pt>
                <c:pt idx="38">
                  <c:v>-0.29405464106168422</c:v>
                </c:pt>
                <c:pt idx="39">
                  <c:v>7.0758593575161385E-2</c:v>
                </c:pt>
                <c:pt idx="40">
                  <c:v>-0.24415888359380702</c:v>
                </c:pt>
                <c:pt idx="41">
                  <c:v>-1.3602366583765402E-2</c:v>
                </c:pt>
                <c:pt idx="42">
                  <c:v>0.32041423732711366</c:v>
                </c:pt>
                <c:pt idx="43">
                  <c:v>-0.55877088458766944</c:v>
                </c:pt>
                <c:pt idx="44">
                  <c:v>-0.37663370438851368</c:v>
                </c:pt>
                <c:pt idx="45">
                  <c:v>-0.42704358414971361</c:v>
                </c:pt>
                <c:pt idx="46">
                  <c:v>0.21816397110405228</c:v>
                </c:pt>
                <c:pt idx="47">
                  <c:v>0.17177134371829034</c:v>
                </c:pt>
                <c:pt idx="48">
                  <c:v>-9.5716907354441216E-2</c:v>
                </c:pt>
                <c:pt idx="49">
                  <c:v>8.6289711601770347E-2</c:v>
                </c:pt>
                <c:pt idx="50">
                  <c:v>-0.16187154132120851</c:v>
                </c:pt>
                <c:pt idx="51">
                  <c:v>-0.11250379313141243</c:v>
                </c:pt>
                <c:pt idx="52">
                  <c:v>-0.17689403006121707</c:v>
                </c:pt>
                <c:pt idx="53">
                  <c:v>3.2064709944842271E-3</c:v>
                </c:pt>
                <c:pt idx="54">
                  <c:v>0.59867267128028823</c:v>
                </c:pt>
                <c:pt idx="55">
                  <c:v>0.33222622929913198</c:v>
                </c:pt>
                <c:pt idx="56">
                  <c:v>0.39698639363369442</c:v>
                </c:pt>
                <c:pt idx="57">
                  <c:v>0.85296387436383703</c:v>
                </c:pt>
                <c:pt idx="58">
                  <c:v>-0.53217770054786262</c:v>
                </c:pt>
                <c:pt idx="59">
                  <c:v>-0.68161432924575194</c:v>
                </c:pt>
                <c:pt idx="60">
                  <c:v>-0.19643722174561118</c:v>
                </c:pt>
                <c:pt idx="61">
                  <c:v>-0.16405948638250206</c:v>
                </c:pt>
                <c:pt idx="62">
                  <c:v>-0.52564868807092857</c:v>
                </c:pt>
                <c:pt idx="63">
                  <c:v>0.10256352467093285</c:v>
                </c:pt>
                <c:pt idx="64">
                  <c:v>-0.18891497503061555</c:v>
                </c:pt>
                <c:pt idx="65">
                  <c:v>-0.41384159364534367</c:v>
                </c:pt>
                <c:pt idx="66">
                  <c:v>0.1299787397892086</c:v>
                </c:pt>
                <c:pt idx="67">
                  <c:v>-0.38564489794652462</c:v>
                </c:pt>
                <c:pt idx="68">
                  <c:v>-7.2806580019030676E-2</c:v>
                </c:pt>
                <c:pt idx="69">
                  <c:v>-3.0313610052789666E-2</c:v>
                </c:pt>
                <c:pt idx="70">
                  <c:v>-0.22523879906040284</c:v>
                </c:pt>
                <c:pt idx="71">
                  <c:v>0.44527318637494817</c:v>
                </c:pt>
                <c:pt idx="72">
                  <c:v>-0.28973996486617265</c:v>
                </c:pt>
                <c:pt idx="73">
                  <c:v>-0.5529932086217636</c:v>
                </c:pt>
                <c:pt idx="74">
                  <c:v>-9.5248198322491359E-2</c:v>
                </c:pt>
                <c:pt idx="75">
                  <c:v>9.2521173370355439E-2</c:v>
                </c:pt>
                <c:pt idx="76">
                  <c:v>2.7081886539778374E-2</c:v>
                </c:pt>
                <c:pt idx="77">
                  <c:v>0.55909692767067543</c:v>
                </c:pt>
                <c:pt idx="78">
                  <c:v>0.4282834697297852</c:v>
                </c:pt>
                <c:pt idx="79">
                  <c:v>4.8784495801966171E-2</c:v>
                </c:pt>
                <c:pt idx="80">
                  <c:v>2.1636616486569982</c:v>
                </c:pt>
                <c:pt idx="81">
                  <c:v>0.3463056632525825</c:v>
                </c:pt>
                <c:pt idx="82">
                  <c:v>-0.36674204436866498</c:v>
                </c:pt>
                <c:pt idx="83">
                  <c:v>3.6753215150872515E-2</c:v>
                </c:pt>
                <c:pt idx="84">
                  <c:v>0.26254766186228573</c:v>
                </c:pt>
                <c:pt idx="85">
                  <c:v>-2.9931826855916957E-2</c:v>
                </c:pt>
                <c:pt idx="86">
                  <c:v>-0.29977807173391302</c:v>
                </c:pt>
                <c:pt idx="87">
                  <c:v>-0.14815725639964342</c:v>
                </c:pt>
                <c:pt idx="88">
                  <c:v>-2.859680534837615E-2</c:v>
                </c:pt>
                <c:pt idx="89">
                  <c:v>-0.23120584643846026</c:v>
                </c:pt>
                <c:pt idx="90">
                  <c:v>0.39619560096352291</c:v>
                </c:pt>
                <c:pt idx="91">
                  <c:v>-0.16304516297950278</c:v>
                </c:pt>
                <c:pt idx="92">
                  <c:v>0.17359558190145458</c:v>
                </c:pt>
                <c:pt idx="93">
                  <c:v>5.1149043690147666E-3</c:v>
                </c:pt>
                <c:pt idx="94">
                  <c:v>0.31050520492840411</c:v>
                </c:pt>
                <c:pt idx="95">
                  <c:v>0.49469334960146127</c:v>
                </c:pt>
                <c:pt idx="96">
                  <c:v>-0.51335522593158867</c:v>
                </c:pt>
                <c:pt idx="97">
                  <c:v>0.5069497574721864</c:v>
                </c:pt>
                <c:pt idx="98">
                  <c:v>0.12022149464686945</c:v>
                </c:pt>
                <c:pt idx="99">
                  <c:v>-6.3392408814159945E-2</c:v>
                </c:pt>
                <c:pt idx="100">
                  <c:v>8.8144341880550259E-2</c:v>
                </c:pt>
                <c:pt idx="101">
                  <c:v>-6.1832242400096722E-2</c:v>
                </c:pt>
                <c:pt idx="102">
                  <c:v>0.38646866909982741</c:v>
                </c:pt>
                <c:pt idx="103">
                  <c:v>8.4985687744962263E-2</c:v>
                </c:pt>
                <c:pt idx="104">
                  <c:v>-0.18182604539522906</c:v>
                </c:pt>
                <c:pt idx="105">
                  <c:v>-1.5512764993754813E-2</c:v>
                </c:pt>
                <c:pt idx="106">
                  <c:v>-0.4312429008619092</c:v>
                </c:pt>
                <c:pt idx="107">
                  <c:v>0.24045511348752568</c:v>
                </c:pt>
                <c:pt idx="108">
                  <c:v>-0.59720925894730104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B9-3C45-AD15-5BA0B8A4E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432479"/>
        <c:axId val="169279583"/>
      </c:scatterChart>
      <c:valAx>
        <c:axId val="528432479"/>
        <c:scaling>
          <c:orientation val="minMax"/>
          <c:max val="0.55000000000000004"/>
          <c:min val="-0.3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</a:t>
                </a:r>
                <a:r>
                  <a:rPr lang="en-US"/>
                  <a:t>U. Rate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169279583"/>
        <c:crosses val="autoZero"/>
        <c:crossBetween val="midCat"/>
        <c:majorUnit val="0.2"/>
      </c:valAx>
      <c:valAx>
        <c:axId val="169279583"/>
        <c:scaling>
          <c:orientation val="minMax"/>
          <c:max val="2.4"/>
          <c:min val="-0.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8432479"/>
        <c:crosses val="autoZero"/>
        <c:crossBetween val="midCat"/>
        <c:majorUnit val="1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Phillips Curve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Inflation Rate</c:v>
          </c:tx>
          <c:spPr>
            <a:ln w="19050">
              <a:noFill/>
            </a:ln>
          </c:spPr>
          <c:xVal>
            <c:numRef>
              <c:f>DATA!$M$3:$M$111</c:f>
              <c:numCache>
                <c:formatCode>0.0000000</c:formatCode>
                <c:ptCount val="109"/>
                <c:pt idx="0">
                  <c:v>-3.3333999999999975E-2</c:v>
                </c:pt>
                <c:pt idx="1">
                  <c:v>0.13333399999999962</c:v>
                </c:pt>
                <c:pt idx="2">
                  <c:v>-3.3333999999999975E-2</c:v>
                </c:pt>
                <c:pt idx="3">
                  <c:v>0.10000000000000009</c:v>
                </c:pt>
                <c:pt idx="4">
                  <c:v>3.3333999999999975E-2</c:v>
                </c:pt>
                <c:pt idx="5">
                  <c:v>0.1666660000000002</c:v>
                </c:pt>
                <c:pt idx="6">
                  <c:v>0.10000000000000009</c:v>
                </c:pt>
                <c:pt idx="7">
                  <c:v>6.666699999999981E-2</c:v>
                </c:pt>
                <c:pt idx="8">
                  <c:v>3.3332999999999835E-2</c:v>
                </c:pt>
                <c:pt idx="9">
                  <c:v>-9.9999999999999645E-2</c:v>
                </c:pt>
                <c:pt idx="10">
                  <c:v>3.3333999999999975E-2</c:v>
                </c:pt>
                <c:pt idx="11">
                  <c:v>0</c:v>
                </c:pt>
                <c:pt idx="12">
                  <c:v>3.3332999999999835E-2</c:v>
                </c:pt>
                <c:pt idx="13">
                  <c:v>3.3332999999999835E-2</c:v>
                </c:pt>
                <c:pt idx="14">
                  <c:v>0.13333400000000006</c:v>
                </c:pt>
                <c:pt idx="15">
                  <c:v>0.1666660000000002</c:v>
                </c:pt>
                <c:pt idx="16">
                  <c:v>0.39999999999999991</c:v>
                </c:pt>
                <c:pt idx="17">
                  <c:v>0.16666700000000034</c:v>
                </c:pt>
                <c:pt idx="18">
                  <c:v>0.19999999999999929</c:v>
                </c:pt>
                <c:pt idx="19">
                  <c:v>0.20000000000000018</c:v>
                </c:pt>
                <c:pt idx="20">
                  <c:v>0.13333300000000037</c:v>
                </c:pt>
                <c:pt idx="21">
                  <c:v>-3.3332999999999835E-2</c:v>
                </c:pt>
                <c:pt idx="22">
                  <c:v>-3.3333000000000723E-2</c:v>
                </c:pt>
                <c:pt idx="23">
                  <c:v>0.13333300000000037</c:v>
                </c:pt>
                <c:pt idx="24">
                  <c:v>-9.9999999999999645E-2</c:v>
                </c:pt>
                <c:pt idx="25">
                  <c:v>-3.3333000000000723E-2</c:v>
                </c:pt>
                <c:pt idx="26">
                  <c:v>0.10000000000000053</c:v>
                </c:pt>
                <c:pt idx="27">
                  <c:v>-3.3333999999999975E-2</c:v>
                </c:pt>
                <c:pt idx="28">
                  <c:v>0.13333399999999962</c:v>
                </c:pt>
                <c:pt idx="29">
                  <c:v>0.29999999999999982</c:v>
                </c:pt>
                <c:pt idx="30">
                  <c:v>0.23333300000000001</c:v>
                </c:pt>
                <c:pt idx="31">
                  <c:v>-3.3332999999999835E-2</c:v>
                </c:pt>
                <c:pt idx="32">
                  <c:v>6.6666000000000558E-2</c:v>
                </c:pt>
                <c:pt idx="33">
                  <c:v>6.666699999999981E-2</c:v>
                </c:pt>
                <c:pt idx="34">
                  <c:v>-0.13333300000000037</c:v>
                </c:pt>
                <c:pt idx="35">
                  <c:v>6.6666000000000558E-2</c:v>
                </c:pt>
                <c:pt idx="36">
                  <c:v>3.3333999999998198E-2</c:v>
                </c:pt>
                <c:pt idx="37">
                  <c:v>-0.29999999999999893</c:v>
                </c:pt>
                <c:pt idx="38">
                  <c:v>-0.13333399999999962</c:v>
                </c:pt>
                <c:pt idx="39">
                  <c:v>-0.13333300000000037</c:v>
                </c:pt>
                <c:pt idx="40">
                  <c:v>-0.16666699999999945</c:v>
                </c:pt>
                <c:pt idx="41">
                  <c:v>3.3333999999999975E-2</c:v>
                </c:pt>
                <c:pt idx="42">
                  <c:v>-0.23333400000000015</c:v>
                </c:pt>
                <c:pt idx="43">
                  <c:v>0</c:v>
                </c:pt>
                <c:pt idx="44">
                  <c:v>-9.9999999999999645E-2</c:v>
                </c:pt>
                <c:pt idx="45">
                  <c:v>-0.13333300000000037</c:v>
                </c:pt>
                <c:pt idx="46">
                  <c:v>0.16666699999999857</c:v>
                </c:pt>
                <c:pt idx="47">
                  <c:v>-0.26666699999999821</c:v>
                </c:pt>
                <c:pt idx="48">
                  <c:v>-6.6666999999998922E-2</c:v>
                </c:pt>
                <c:pt idx="49">
                  <c:v>-3.3333000000001611E-2</c:v>
                </c:pt>
                <c:pt idx="50">
                  <c:v>-6.666699999999981E-2</c:v>
                </c:pt>
                <c:pt idx="51">
                  <c:v>-3.3332999999999835E-2</c:v>
                </c:pt>
                <c:pt idx="52">
                  <c:v>-0.30000000000000027</c:v>
                </c:pt>
                <c:pt idx="53">
                  <c:v>0</c:v>
                </c:pt>
                <c:pt idx="54">
                  <c:v>0.13333299999999992</c:v>
                </c:pt>
                <c:pt idx="55">
                  <c:v>6.666699999999981E-2</c:v>
                </c:pt>
                <c:pt idx="56">
                  <c:v>0</c:v>
                </c:pt>
                <c:pt idx="57">
                  <c:v>6.6666999999998922E-2</c:v>
                </c:pt>
                <c:pt idx="58">
                  <c:v>0.10000000000000142</c:v>
                </c:pt>
                <c:pt idx="59">
                  <c:v>0.53333299999999983</c:v>
                </c:pt>
                <c:pt idx="60">
                  <c:v>0.53333300000000161</c:v>
                </c:pt>
                <c:pt idx="61">
                  <c:v>0.33333399999999713</c:v>
                </c:pt>
                <c:pt idx="62">
                  <c:v>-0.1999999999999984</c:v>
                </c:pt>
                <c:pt idx="63">
                  <c:v>-0.13333399999999873</c:v>
                </c:pt>
                <c:pt idx="64">
                  <c:v>3.3333999999998198E-2</c:v>
                </c:pt>
                <c:pt idx="65">
                  <c:v>-6.666699999999981E-2</c:v>
                </c:pt>
                <c:pt idx="66">
                  <c:v>-3.3332999999999835E-2</c:v>
                </c:pt>
                <c:pt idx="67">
                  <c:v>-0.29516899999999957</c:v>
                </c:pt>
                <c:pt idx="68">
                  <c:v>-8.7521999999998989E-2</c:v>
                </c:pt>
                <c:pt idx="69">
                  <c:v>-0.21670600000000206</c:v>
                </c:pt>
                <c:pt idx="70">
                  <c:v>3.2730000000000814E-2</c:v>
                </c:pt>
                <c:pt idx="71">
                  <c:v>3.3332999999999835E-2</c:v>
                </c:pt>
                <c:pt idx="72">
                  <c:v>-9.9999999999999645E-2</c:v>
                </c:pt>
                <c:pt idx="73">
                  <c:v>-0.13333300000000037</c:v>
                </c:pt>
                <c:pt idx="74">
                  <c:v>-0.13333300000000037</c:v>
                </c:pt>
                <c:pt idx="75">
                  <c:v>3.3333000000000723E-2</c:v>
                </c:pt>
                <c:pt idx="76">
                  <c:v>-0.10000000000000053</c:v>
                </c:pt>
                <c:pt idx="77">
                  <c:v>-0.16666699999999945</c:v>
                </c:pt>
                <c:pt idx="78">
                  <c:v>-6.6666000000000558E-2</c:v>
                </c:pt>
                <c:pt idx="79">
                  <c:v>-0.26666699999999999</c:v>
                </c:pt>
                <c:pt idx="80">
                  <c:v>0</c:v>
                </c:pt>
                <c:pt idx="81">
                  <c:v>-6.666699999999981E-2</c:v>
                </c:pt>
                <c:pt idx="82">
                  <c:v>-0.13333299999999992</c:v>
                </c:pt>
                <c:pt idx="83">
                  <c:v>6.666699999999981E-2</c:v>
                </c:pt>
                <c:pt idx="84">
                  <c:v>-0.1666669999999999</c:v>
                </c:pt>
                <c:pt idx="85">
                  <c:v>0</c:v>
                </c:pt>
                <c:pt idx="86">
                  <c:v>-6.666699999999981E-2</c:v>
                </c:pt>
                <c:pt idx="87">
                  <c:v>-3.3333000000000279E-2</c:v>
                </c:pt>
                <c:pt idx="88">
                  <c:v>-6.666699999999981E-2</c:v>
                </c:pt>
                <c:pt idx="89">
                  <c:v>-0.13333299999999992</c:v>
                </c:pt>
                <c:pt idx="90">
                  <c:v>-3.3333000000000279E-2</c:v>
                </c:pt>
                <c:pt idx="91">
                  <c:v>-0.13333400000000006</c:v>
                </c:pt>
                <c:pt idx="92">
                  <c:v>0</c:v>
                </c:pt>
                <c:pt idx="93">
                  <c:v>-6.666599999999967E-2</c:v>
                </c:pt>
                <c:pt idx="94">
                  <c:v>-0.13333400000000006</c:v>
                </c:pt>
                <c:pt idx="95">
                  <c:v>-0.1666660000000002</c:v>
                </c:pt>
                <c:pt idx="96">
                  <c:v>-0.1666669999999999</c:v>
                </c:pt>
                <c:pt idx="97">
                  <c:v>6.666699999999981E-2</c:v>
                </c:pt>
                <c:pt idx="98">
                  <c:v>3.3333000000000279E-2</c:v>
                </c:pt>
                <c:pt idx="99">
                  <c:v>0</c:v>
                </c:pt>
                <c:pt idx="100">
                  <c:v>-0.10000000000000009</c:v>
                </c:pt>
                <c:pt idx="101">
                  <c:v>-0.13333299999999992</c:v>
                </c:pt>
                <c:pt idx="102">
                  <c:v>3.3332999999999835E-2</c:v>
                </c:pt>
                <c:pt idx="103">
                  <c:v>0.1666669999999999</c:v>
                </c:pt>
                <c:pt idx="104">
                  <c:v>0.30000000000000027</c:v>
                </c:pt>
                <c:pt idx="105">
                  <c:v>0.23333300000000001</c:v>
                </c:pt>
                <c:pt idx="106">
                  <c:v>0.13333299999999992</c:v>
                </c:pt>
                <c:pt idx="107">
                  <c:v>-0.20000000000000018</c:v>
                </c:pt>
                <c:pt idx="108">
                  <c:v>0</c:v>
                </c:pt>
              </c:numCache>
            </c:numRef>
          </c:xVal>
          <c:yVal>
            <c:numRef>
              <c:f>DATA!$O$3:$O$111</c:f>
              <c:numCache>
                <c:formatCode>General</c:formatCode>
                <c:ptCount val="109"/>
                <c:pt idx="0">
                  <c:v>-0.18668084798978749</c:v>
                </c:pt>
                <c:pt idx="1">
                  <c:v>3.1158036258628438E-2</c:v>
                </c:pt>
                <c:pt idx="2">
                  <c:v>0.46744978966701034</c:v>
                </c:pt>
                <c:pt idx="3">
                  <c:v>-0.20122715711178882</c:v>
                </c:pt>
                <c:pt idx="4">
                  <c:v>-0.2992133126838768</c:v>
                </c:pt>
                <c:pt idx="5">
                  <c:v>0</c:v>
                </c:pt>
                <c:pt idx="6">
                  <c:v>-3.3336611450502804E-2</c:v>
                </c:pt>
                <c:pt idx="7">
                  <c:v>3.2938679346104623E-2</c:v>
                </c:pt>
                <c:pt idx="8">
                  <c:v>-3.3745662184764727E-2</c:v>
                </c:pt>
                <c:pt idx="9">
                  <c:v>0.20256277497912503</c:v>
                </c:pt>
                <c:pt idx="10">
                  <c:v>3.369901837065286E-2</c:v>
                </c:pt>
                <c:pt idx="11">
                  <c:v>0.30312778041845423</c:v>
                </c:pt>
                <c:pt idx="12">
                  <c:v>1.4775031203214812</c:v>
                </c:pt>
                <c:pt idx="13">
                  <c:v>0.33086827613719222</c:v>
                </c:pt>
                <c:pt idx="14">
                  <c:v>-3.2967724597620179E-2</c:v>
                </c:pt>
                <c:pt idx="15">
                  <c:v>0.23095011337643076</c:v>
                </c:pt>
                <c:pt idx="16">
                  <c:v>-0.13161043311797579</c:v>
                </c:pt>
                <c:pt idx="17">
                  <c:v>-0.29667345553293117</c:v>
                </c:pt>
                <c:pt idx="18">
                  <c:v>0.72722837730723289</c:v>
                </c:pt>
                <c:pt idx="19">
                  <c:v>-0.42657001325141125</c:v>
                </c:pt>
                <c:pt idx="20">
                  <c:v>-0.2307515674294231</c:v>
                </c:pt>
                <c:pt idx="21">
                  <c:v>-6.6074355714989291E-2</c:v>
                </c:pt>
                <c:pt idx="22">
                  <c:v>-0.29751617253534057</c:v>
                </c:pt>
                <c:pt idx="23">
                  <c:v>3.1676296769733381E-2</c:v>
                </c:pt>
                <c:pt idx="24">
                  <c:v>-0.19442525124681254</c:v>
                </c:pt>
                <c:pt idx="25">
                  <c:v>-0.16234169597278145</c:v>
                </c:pt>
                <c:pt idx="26">
                  <c:v>-0.13008050784396949</c:v>
                </c:pt>
                <c:pt idx="27">
                  <c:v>-3.2567528942777181E-2</c:v>
                </c:pt>
                <c:pt idx="28">
                  <c:v>-0.45602329720437318</c:v>
                </c:pt>
                <c:pt idx="29">
                  <c:v>-0.22906126752708636</c:v>
                </c:pt>
                <c:pt idx="30">
                  <c:v>-0.36076676198164453</c:v>
                </c:pt>
                <c:pt idx="31">
                  <c:v>-0.32917210807931929</c:v>
                </c:pt>
                <c:pt idx="32">
                  <c:v>3.3030015873439872E-2</c:v>
                </c:pt>
                <c:pt idx="33">
                  <c:v>-0.13205598068853458</c:v>
                </c:pt>
                <c:pt idx="34">
                  <c:v>-9.9178070574263949E-2</c:v>
                </c:pt>
                <c:pt idx="35">
                  <c:v>-6.6180936527403728E-2</c:v>
                </c:pt>
                <c:pt idx="36">
                  <c:v>6.6224764696893201E-2</c:v>
                </c:pt>
                <c:pt idx="37">
                  <c:v>-0.13236187305480746</c:v>
                </c:pt>
                <c:pt idx="38">
                  <c:v>-0.19880595286518254</c:v>
                </c:pt>
                <c:pt idx="39">
                  <c:v>0.16600679189765274</c:v>
                </c:pt>
                <c:pt idx="40">
                  <c:v>-0.13258122499916455</c:v>
                </c:pt>
                <c:pt idx="41">
                  <c:v>0</c:v>
                </c:pt>
                <c:pt idx="42">
                  <c:v>0.46465032659204891</c:v>
                </c:pt>
                <c:pt idx="43">
                  <c:v>-0.52883905773175244</c:v>
                </c:pt>
                <c:pt idx="44">
                  <c:v>-0.29771447646416355</c:v>
                </c:pt>
                <c:pt idx="45">
                  <c:v>-0.33179538582722223</c:v>
                </c:pt>
                <c:pt idx="46">
                  <c:v>0.16644996622124417</c:v>
                </c:pt>
                <c:pt idx="47">
                  <c:v>0.33233640338136555</c:v>
                </c:pt>
                <c:pt idx="48">
                  <c:v>-3.3126649828232345E-2</c:v>
                </c:pt>
                <c:pt idx="49">
                  <c:v>0.13255050885582897</c:v>
                </c:pt>
                <c:pt idx="50">
                  <c:v>-9.9281283794999203E-2</c:v>
                </c:pt>
                <c:pt idx="51">
                  <c:v>-6.624299587735466E-2</c:v>
                </c:pt>
                <c:pt idx="52">
                  <c:v>0</c:v>
                </c:pt>
                <c:pt idx="53">
                  <c:v>3.3138297850401184E-2</c:v>
                </c:pt>
                <c:pt idx="54">
                  <c:v>0.56328812666963102</c:v>
                </c:pt>
                <c:pt idx="55">
                  <c:v>0.32949962548475659</c:v>
                </c:pt>
                <c:pt idx="56">
                  <c:v>0.42691822048961137</c:v>
                </c:pt>
                <c:pt idx="57">
                  <c:v>0.85023727054946208</c:v>
                </c:pt>
                <c:pt idx="58">
                  <c:v>-0.55123327476037964</c:v>
                </c:pt>
                <c:pt idx="59">
                  <c:v>-0.91294847813014246</c:v>
                </c:pt>
                <c:pt idx="60">
                  <c:v>-0.42777137063000259</c:v>
                </c:pt>
                <c:pt idx="61">
                  <c:v>-0.29741932300403529</c:v>
                </c:pt>
                <c:pt idx="62">
                  <c:v>-0.39774205907814575</c:v>
                </c:pt>
                <c:pt idx="63">
                  <c:v>0.19781221286743408</c:v>
                </c:pt>
                <c:pt idx="64">
                  <c:v>-0.17531260844684929</c:v>
                </c:pt>
                <c:pt idx="65">
                  <c:v>-0.35125133611913434</c:v>
                </c:pt>
                <c:pt idx="66">
                  <c:v>0.17623953704326636</c:v>
                </c:pt>
                <c:pt idx="67">
                  <c:v>-0.2111174492309239</c:v>
                </c:pt>
                <c:pt idx="68">
                  <c:v>0</c:v>
                </c:pt>
                <c:pt idx="69">
                  <c:v>0.10577685416248743</c:v>
                </c:pt>
                <c:pt idx="70">
                  <c:v>-0.21134054857418452</c:v>
                </c:pt>
                <c:pt idx="71">
                  <c:v>0.45887604283272432</c:v>
                </c:pt>
                <c:pt idx="72">
                  <c:v>-0.21082073694182255</c:v>
                </c:pt>
                <c:pt idx="73">
                  <c:v>-0.45774501029927223</c:v>
                </c:pt>
                <c:pt idx="74">
                  <c:v>0</c:v>
                </c:pt>
                <c:pt idx="75">
                  <c:v>0.10612402982813116</c:v>
                </c:pt>
                <c:pt idx="76">
                  <c:v>0.10600111446412892</c:v>
                </c:pt>
                <c:pt idx="77">
                  <c:v>0.67067458626531795</c:v>
                </c:pt>
                <c:pt idx="78">
                  <c:v>0.49087323738198418</c:v>
                </c:pt>
                <c:pt idx="79">
                  <c:v>0.20934955546504222</c:v>
                </c:pt>
                <c:pt idx="80">
                  <c:v>2.1935934755129152</c:v>
                </c:pt>
                <c:pt idx="81">
                  <c:v>0.40889592077879183</c:v>
                </c:pt>
                <c:pt idx="82">
                  <c:v>-0.27149384604617383</c:v>
                </c:pt>
                <c:pt idx="83">
                  <c:v>3.4026611336497113E-2</c:v>
                </c:pt>
                <c:pt idx="84">
                  <c:v>0.37412532045692842</c:v>
                </c:pt>
                <c:pt idx="85">
                  <c:v>0</c:v>
                </c:pt>
                <c:pt idx="86">
                  <c:v>-0.23718781420770368</c:v>
                </c:pt>
                <c:pt idx="87">
                  <c:v>-0.10189645914558544</c:v>
                </c:pt>
                <c:pt idx="88">
                  <c:v>3.3993452177833158E-2</c:v>
                </c:pt>
                <c:pt idx="89">
                  <c:v>-0.13595764811596911</c:v>
                </c:pt>
                <c:pt idx="90">
                  <c:v>0.44245639821758087</c:v>
                </c:pt>
                <c:pt idx="91">
                  <c:v>-6.7796474783000882E-2</c:v>
                </c:pt>
                <c:pt idx="92">
                  <c:v>0.20352740875737152</c:v>
                </c:pt>
                <c:pt idx="93">
                  <c:v>6.770467202121333E-2</c:v>
                </c:pt>
                <c:pt idx="94">
                  <c:v>0.40575389312490601</c:v>
                </c:pt>
                <c:pt idx="95">
                  <c:v>0.60627051832209344</c:v>
                </c:pt>
                <c:pt idx="96">
                  <c:v>-0.40177756733694597</c:v>
                </c:pt>
                <c:pt idx="97">
                  <c:v>0.50422315365781101</c:v>
                </c:pt>
                <c:pt idx="98">
                  <c:v>0.13382435110464538</c:v>
                </c:pt>
                <c:pt idx="99">
                  <c:v>-3.3460581958242981E-2</c:v>
                </c:pt>
                <c:pt idx="100">
                  <c:v>0.16706356980490059</c:v>
                </c:pt>
                <c:pt idx="101">
                  <c:v>3.3415955922394415E-2</c:v>
                </c:pt>
                <c:pt idx="102">
                  <c:v>0.40007152555760356</c:v>
                </c:pt>
                <c:pt idx="103">
                  <c:v>3.3271682862153484E-2</c:v>
                </c:pt>
                <c:pt idx="104">
                  <c:v>-0.29885642174461224</c:v>
                </c:pt>
                <c:pt idx="105">
                  <c:v>-9.988471067284542E-2</c:v>
                </c:pt>
                <c:pt idx="106">
                  <c:v>-0.4666274454725664</c:v>
                </c:pt>
                <c:pt idx="107">
                  <c:v>0.3683617424803094</c:v>
                </c:pt>
                <c:pt idx="108">
                  <c:v>-0.56727743209138404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8B-C040-B795-3CBA6F4CB731}"/>
            </c:ext>
          </c:extLst>
        </c:ser>
        <c:ser>
          <c:idx val="1"/>
          <c:order val="1"/>
          <c:tx>
            <c:v>Predicted Inflation Rate</c:v>
          </c:tx>
          <c:spPr>
            <a:ln w="19050">
              <a:noFill/>
            </a:ln>
          </c:spPr>
          <c:trendline>
            <c:spPr>
              <a:ln w="12700"/>
            </c:spPr>
            <c:trendlineType val="linear"/>
            <c:dispRSqr val="0"/>
            <c:dispEq val="1"/>
            <c:trendlineLbl>
              <c:layout>
                <c:manualLayout>
                  <c:x val="0.15958582148707923"/>
                  <c:y val="-0.30007599586244749"/>
                </c:manualLayout>
              </c:layout>
              <c:numFmt formatCode="General" sourceLinked="0"/>
            </c:trendlineLbl>
          </c:trendline>
          <c:xVal>
            <c:numRef>
              <c:f>DATA!$M$3:$M$111</c:f>
              <c:numCache>
                <c:formatCode>0.0000000</c:formatCode>
                <c:ptCount val="109"/>
                <c:pt idx="0">
                  <c:v>-3.3333999999999975E-2</c:v>
                </c:pt>
                <c:pt idx="1">
                  <c:v>0.13333399999999962</c:v>
                </c:pt>
                <c:pt idx="2">
                  <c:v>-3.3333999999999975E-2</c:v>
                </c:pt>
                <c:pt idx="3">
                  <c:v>0.10000000000000009</c:v>
                </c:pt>
                <c:pt idx="4">
                  <c:v>3.3333999999999975E-2</c:v>
                </c:pt>
                <c:pt idx="5">
                  <c:v>0.1666660000000002</c:v>
                </c:pt>
                <c:pt idx="6">
                  <c:v>0.10000000000000009</c:v>
                </c:pt>
                <c:pt idx="7">
                  <c:v>6.666699999999981E-2</c:v>
                </c:pt>
                <c:pt idx="8">
                  <c:v>3.3332999999999835E-2</c:v>
                </c:pt>
                <c:pt idx="9">
                  <c:v>-9.9999999999999645E-2</c:v>
                </c:pt>
                <c:pt idx="10">
                  <c:v>3.3333999999999975E-2</c:v>
                </c:pt>
                <c:pt idx="11">
                  <c:v>0</c:v>
                </c:pt>
                <c:pt idx="12">
                  <c:v>3.3332999999999835E-2</c:v>
                </c:pt>
                <c:pt idx="13">
                  <c:v>3.3332999999999835E-2</c:v>
                </c:pt>
                <c:pt idx="14">
                  <c:v>0.13333400000000006</c:v>
                </c:pt>
                <c:pt idx="15">
                  <c:v>0.1666660000000002</c:v>
                </c:pt>
                <c:pt idx="16">
                  <c:v>0.39999999999999991</c:v>
                </c:pt>
                <c:pt idx="17">
                  <c:v>0.16666700000000034</c:v>
                </c:pt>
                <c:pt idx="18">
                  <c:v>0.19999999999999929</c:v>
                </c:pt>
                <c:pt idx="19">
                  <c:v>0.20000000000000018</c:v>
                </c:pt>
                <c:pt idx="20">
                  <c:v>0.13333300000000037</c:v>
                </c:pt>
                <c:pt idx="21">
                  <c:v>-3.3332999999999835E-2</c:v>
                </c:pt>
                <c:pt idx="22">
                  <c:v>-3.3333000000000723E-2</c:v>
                </c:pt>
                <c:pt idx="23">
                  <c:v>0.13333300000000037</c:v>
                </c:pt>
                <c:pt idx="24">
                  <c:v>-9.9999999999999645E-2</c:v>
                </c:pt>
                <c:pt idx="25">
                  <c:v>-3.3333000000000723E-2</c:v>
                </c:pt>
                <c:pt idx="26">
                  <c:v>0.10000000000000053</c:v>
                </c:pt>
                <c:pt idx="27">
                  <c:v>-3.3333999999999975E-2</c:v>
                </c:pt>
                <c:pt idx="28">
                  <c:v>0.13333399999999962</c:v>
                </c:pt>
                <c:pt idx="29">
                  <c:v>0.29999999999999982</c:v>
                </c:pt>
                <c:pt idx="30">
                  <c:v>0.23333300000000001</c:v>
                </c:pt>
                <c:pt idx="31">
                  <c:v>-3.3332999999999835E-2</c:v>
                </c:pt>
                <c:pt idx="32">
                  <c:v>6.6666000000000558E-2</c:v>
                </c:pt>
                <c:pt idx="33">
                  <c:v>6.666699999999981E-2</c:v>
                </c:pt>
                <c:pt idx="34">
                  <c:v>-0.13333300000000037</c:v>
                </c:pt>
                <c:pt idx="35">
                  <c:v>6.6666000000000558E-2</c:v>
                </c:pt>
                <c:pt idx="36">
                  <c:v>3.3333999999998198E-2</c:v>
                </c:pt>
                <c:pt idx="37">
                  <c:v>-0.29999999999999893</c:v>
                </c:pt>
                <c:pt idx="38">
                  <c:v>-0.13333399999999962</c:v>
                </c:pt>
                <c:pt idx="39">
                  <c:v>-0.13333300000000037</c:v>
                </c:pt>
                <c:pt idx="40">
                  <c:v>-0.16666699999999945</c:v>
                </c:pt>
                <c:pt idx="41">
                  <c:v>3.3333999999999975E-2</c:v>
                </c:pt>
                <c:pt idx="42">
                  <c:v>-0.23333400000000015</c:v>
                </c:pt>
                <c:pt idx="43">
                  <c:v>0</c:v>
                </c:pt>
                <c:pt idx="44">
                  <c:v>-9.9999999999999645E-2</c:v>
                </c:pt>
                <c:pt idx="45">
                  <c:v>-0.13333300000000037</c:v>
                </c:pt>
                <c:pt idx="46">
                  <c:v>0.16666699999999857</c:v>
                </c:pt>
                <c:pt idx="47">
                  <c:v>-0.26666699999999821</c:v>
                </c:pt>
                <c:pt idx="48">
                  <c:v>-6.6666999999998922E-2</c:v>
                </c:pt>
                <c:pt idx="49">
                  <c:v>-3.3333000000001611E-2</c:v>
                </c:pt>
                <c:pt idx="50">
                  <c:v>-6.666699999999981E-2</c:v>
                </c:pt>
                <c:pt idx="51">
                  <c:v>-3.3332999999999835E-2</c:v>
                </c:pt>
                <c:pt idx="52">
                  <c:v>-0.30000000000000027</c:v>
                </c:pt>
                <c:pt idx="53">
                  <c:v>0</c:v>
                </c:pt>
                <c:pt idx="54">
                  <c:v>0.13333299999999992</c:v>
                </c:pt>
                <c:pt idx="55">
                  <c:v>6.666699999999981E-2</c:v>
                </c:pt>
                <c:pt idx="56">
                  <c:v>0</c:v>
                </c:pt>
                <c:pt idx="57">
                  <c:v>6.6666999999998922E-2</c:v>
                </c:pt>
                <c:pt idx="58">
                  <c:v>0.10000000000000142</c:v>
                </c:pt>
                <c:pt idx="59">
                  <c:v>0.53333299999999983</c:v>
                </c:pt>
                <c:pt idx="60">
                  <c:v>0.53333300000000161</c:v>
                </c:pt>
                <c:pt idx="61">
                  <c:v>0.33333399999999713</c:v>
                </c:pt>
                <c:pt idx="62">
                  <c:v>-0.1999999999999984</c:v>
                </c:pt>
                <c:pt idx="63">
                  <c:v>-0.13333399999999873</c:v>
                </c:pt>
                <c:pt idx="64">
                  <c:v>3.3333999999998198E-2</c:v>
                </c:pt>
                <c:pt idx="65">
                  <c:v>-6.666699999999981E-2</c:v>
                </c:pt>
                <c:pt idx="66">
                  <c:v>-3.3332999999999835E-2</c:v>
                </c:pt>
                <c:pt idx="67">
                  <c:v>-0.29516899999999957</c:v>
                </c:pt>
                <c:pt idx="68">
                  <c:v>-8.7521999999998989E-2</c:v>
                </c:pt>
                <c:pt idx="69">
                  <c:v>-0.21670600000000206</c:v>
                </c:pt>
                <c:pt idx="70">
                  <c:v>3.2730000000000814E-2</c:v>
                </c:pt>
                <c:pt idx="71">
                  <c:v>3.3332999999999835E-2</c:v>
                </c:pt>
                <c:pt idx="72">
                  <c:v>-9.9999999999999645E-2</c:v>
                </c:pt>
                <c:pt idx="73">
                  <c:v>-0.13333300000000037</c:v>
                </c:pt>
                <c:pt idx="74">
                  <c:v>-0.13333300000000037</c:v>
                </c:pt>
                <c:pt idx="75">
                  <c:v>3.3333000000000723E-2</c:v>
                </c:pt>
                <c:pt idx="76">
                  <c:v>-0.10000000000000053</c:v>
                </c:pt>
                <c:pt idx="77">
                  <c:v>-0.16666699999999945</c:v>
                </c:pt>
                <c:pt idx="78">
                  <c:v>-6.6666000000000558E-2</c:v>
                </c:pt>
                <c:pt idx="79">
                  <c:v>-0.26666699999999999</c:v>
                </c:pt>
                <c:pt idx="80">
                  <c:v>0</c:v>
                </c:pt>
                <c:pt idx="81">
                  <c:v>-6.666699999999981E-2</c:v>
                </c:pt>
                <c:pt idx="82">
                  <c:v>-0.13333299999999992</c:v>
                </c:pt>
                <c:pt idx="83">
                  <c:v>6.666699999999981E-2</c:v>
                </c:pt>
                <c:pt idx="84">
                  <c:v>-0.1666669999999999</c:v>
                </c:pt>
                <c:pt idx="85">
                  <c:v>0</c:v>
                </c:pt>
                <c:pt idx="86">
                  <c:v>-6.666699999999981E-2</c:v>
                </c:pt>
                <c:pt idx="87">
                  <c:v>-3.3333000000000279E-2</c:v>
                </c:pt>
                <c:pt idx="88">
                  <c:v>-6.666699999999981E-2</c:v>
                </c:pt>
                <c:pt idx="89">
                  <c:v>-0.13333299999999992</c:v>
                </c:pt>
                <c:pt idx="90">
                  <c:v>-3.3333000000000279E-2</c:v>
                </c:pt>
                <c:pt idx="91">
                  <c:v>-0.13333400000000006</c:v>
                </c:pt>
                <c:pt idx="92">
                  <c:v>0</c:v>
                </c:pt>
                <c:pt idx="93">
                  <c:v>-6.666599999999967E-2</c:v>
                </c:pt>
                <c:pt idx="94">
                  <c:v>-0.13333400000000006</c:v>
                </c:pt>
                <c:pt idx="95">
                  <c:v>-0.1666660000000002</c:v>
                </c:pt>
                <c:pt idx="96">
                  <c:v>-0.1666669999999999</c:v>
                </c:pt>
                <c:pt idx="97">
                  <c:v>6.666699999999981E-2</c:v>
                </c:pt>
                <c:pt idx="98">
                  <c:v>3.3333000000000279E-2</c:v>
                </c:pt>
                <c:pt idx="99">
                  <c:v>0</c:v>
                </c:pt>
                <c:pt idx="100">
                  <c:v>-0.10000000000000009</c:v>
                </c:pt>
                <c:pt idx="101">
                  <c:v>-0.13333299999999992</c:v>
                </c:pt>
                <c:pt idx="102">
                  <c:v>3.3332999999999835E-2</c:v>
                </c:pt>
                <c:pt idx="103">
                  <c:v>0.1666669999999999</c:v>
                </c:pt>
                <c:pt idx="104">
                  <c:v>0.30000000000000027</c:v>
                </c:pt>
                <c:pt idx="105">
                  <c:v>0.23333300000000001</c:v>
                </c:pt>
                <c:pt idx="106">
                  <c:v>0.13333299999999992</c:v>
                </c:pt>
                <c:pt idx="107">
                  <c:v>-0.20000000000000018</c:v>
                </c:pt>
                <c:pt idx="108">
                  <c:v>0</c:v>
                </c:pt>
              </c:numCache>
            </c:numRef>
          </c:xVal>
          <c:yVal>
            <c:numRef>
              <c:f>'PC ANOVA Table'!$B$25:$B$133</c:f>
              <c:numCache>
                <c:formatCode>General</c:formatCode>
                <c:ptCount val="109"/>
                <c:pt idx="0">
                  <c:v>4.6261287128068512E-2</c:v>
                </c:pt>
                <c:pt idx="1">
                  <c:v>-3.538503448466776E-2</c:v>
                </c:pt>
                <c:pt idx="2">
                  <c:v>4.6261287128068512E-2</c:v>
                </c:pt>
                <c:pt idx="3">
                  <c:v>-1.905557421251642E-2</c:v>
                </c:pt>
                <c:pt idx="4">
                  <c:v>1.3602366583765402E-2</c:v>
                </c:pt>
                <c:pt idx="5">
                  <c:v>-5.1713515008798241E-2</c:v>
                </c:pt>
                <c:pt idx="6">
                  <c:v>-1.905557421251642E-2</c:v>
                </c:pt>
                <c:pt idx="7">
                  <c:v>-2.7266038143754015E-3</c:v>
                </c:pt>
                <c:pt idx="8">
                  <c:v>1.3602856457776154E-2</c:v>
                </c:pt>
                <c:pt idx="9">
                  <c:v>7.8919227924350119E-2</c:v>
                </c:pt>
                <c:pt idx="10">
                  <c:v>1.3602366583765402E-2</c:v>
                </c:pt>
                <c:pt idx="11">
                  <c:v>2.9931826855916957E-2</c:v>
                </c:pt>
                <c:pt idx="12">
                  <c:v>1.3602856457776154E-2</c:v>
                </c:pt>
                <c:pt idx="13">
                  <c:v>1.3602856457776154E-2</c:v>
                </c:pt>
                <c:pt idx="14">
                  <c:v>-3.5385034484667982E-2</c:v>
                </c:pt>
                <c:pt idx="15">
                  <c:v>-5.1713515008798241E-2</c:v>
                </c:pt>
                <c:pt idx="16">
                  <c:v>-0.16601777741781631</c:v>
                </c:pt>
                <c:pt idx="17">
                  <c:v>-5.1714004882809E-2</c:v>
                </c:pt>
                <c:pt idx="18">
                  <c:v>-6.8042975280949367E-2</c:v>
                </c:pt>
                <c:pt idx="19">
                  <c:v>-6.8042975280949797E-2</c:v>
                </c:pt>
                <c:pt idx="20">
                  <c:v>-3.5384544610657445E-2</c:v>
                </c:pt>
                <c:pt idx="21">
                  <c:v>4.626079725405776E-2</c:v>
                </c:pt>
                <c:pt idx="22">
                  <c:v>4.6260797254058197E-2</c:v>
                </c:pt>
                <c:pt idx="23">
                  <c:v>-3.5384544610657445E-2</c:v>
                </c:pt>
                <c:pt idx="24">
                  <c:v>7.8919227924350119E-2</c:v>
                </c:pt>
                <c:pt idx="25">
                  <c:v>4.6260797254058197E-2</c:v>
                </c:pt>
                <c:pt idx="26">
                  <c:v>-1.9055574212516635E-2</c:v>
                </c:pt>
                <c:pt idx="27">
                  <c:v>4.6261287128068512E-2</c:v>
                </c:pt>
                <c:pt idx="28">
                  <c:v>-3.538503448466776E-2</c:v>
                </c:pt>
                <c:pt idx="29">
                  <c:v>-0.11703037634938294</c:v>
                </c:pt>
                <c:pt idx="30">
                  <c:v>-8.4371945679090607E-2</c:v>
                </c:pt>
                <c:pt idx="31">
                  <c:v>4.626079725405776E-2</c:v>
                </c:pt>
                <c:pt idx="32">
                  <c:v>-2.7261139403650797E-3</c:v>
                </c:pt>
                <c:pt idx="33">
                  <c:v>-2.7266038143754015E-3</c:v>
                </c:pt>
                <c:pt idx="34">
                  <c:v>9.5248198322491359E-2</c:v>
                </c:pt>
                <c:pt idx="35">
                  <c:v>-2.7261139403650797E-3</c:v>
                </c:pt>
                <c:pt idx="36">
                  <c:v>1.3602366583766273E-2</c:v>
                </c:pt>
                <c:pt idx="37">
                  <c:v>0.17689403006121646</c:v>
                </c:pt>
                <c:pt idx="38">
                  <c:v>9.5248688196501674E-2</c:v>
                </c:pt>
                <c:pt idx="39">
                  <c:v>9.5248198322491359E-2</c:v>
                </c:pt>
                <c:pt idx="40">
                  <c:v>0.11157765859464247</c:v>
                </c:pt>
                <c:pt idx="41">
                  <c:v>1.3602366583765402E-2</c:v>
                </c:pt>
                <c:pt idx="42">
                  <c:v>0.14423608926493525</c:v>
                </c:pt>
                <c:pt idx="43">
                  <c:v>2.9931826855916957E-2</c:v>
                </c:pt>
                <c:pt idx="44">
                  <c:v>7.8919227924350119E-2</c:v>
                </c:pt>
                <c:pt idx="45">
                  <c:v>9.5248198322491359E-2</c:v>
                </c:pt>
                <c:pt idx="46">
                  <c:v>-5.1714004882808126E-2</c:v>
                </c:pt>
                <c:pt idx="47">
                  <c:v>0.16056505966307522</c:v>
                </c:pt>
                <c:pt idx="48">
                  <c:v>6.2590257526208878E-2</c:v>
                </c:pt>
                <c:pt idx="49">
                  <c:v>4.6260797254058628E-2</c:v>
                </c:pt>
                <c:pt idx="50">
                  <c:v>6.2590257526209309E-2</c:v>
                </c:pt>
                <c:pt idx="51">
                  <c:v>4.626079725405776E-2</c:v>
                </c:pt>
                <c:pt idx="52">
                  <c:v>0.17689403006121707</c:v>
                </c:pt>
                <c:pt idx="53">
                  <c:v>2.9931826855916957E-2</c:v>
                </c:pt>
                <c:pt idx="54">
                  <c:v>-3.5384544610657223E-2</c:v>
                </c:pt>
                <c:pt idx="55">
                  <c:v>-2.7266038143754015E-3</c:v>
                </c:pt>
                <c:pt idx="56">
                  <c:v>2.9931826855916957E-2</c:v>
                </c:pt>
                <c:pt idx="57">
                  <c:v>-2.7266038143749644E-3</c:v>
                </c:pt>
                <c:pt idx="58">
                  <c:v>-1.9055574212517072E-2</c:v>
                </c:pt>
                <c:pt idx="59">
                  <c:v>-0.23133414888439052</c:v>
                </c:pt>
                <c:pt idx="60">
                  <c:v>-0.23133414888439141</c:v>
                </c:pt>
                <c:pt idx="61">
                  <c:v>-0.13335983662153322</c:v>
                </c:pt>
                <c:pt idx="62">
                  <c:v>0.12790662899278282</c:v>
                </c:pt>
                <c:pt idx="63">
                  <c:v>9.524868819650123E-2</c:v>
                </c:pt>
                <c:pt idx="64">
                  <c:v>1.3602366583766273E-2</c:v>
                </c:pt>
                <c:pt idx="65">
                  <c:v>6.2590257526209309E-2</c:v>
                </c:pt>
                <c:pt idx="66">
                  <c:v>4.626079725405776E-2</c:v>
                </c:pt>
                <c:pt idx="67">
                  <c:v>0.17452744871560072</c:v>
                </c:pt>
                <c:pt idx="68">
                  <c:v>7.2806580019030676E-2</c:v>
                </c:pt>
                <c:pt idx="69">
                  <c:v>0.1360904642152771</c:v>
                </c:pt>
                <c:pt idx="70">
                  <c:v>1.3898250486218327E-2</c:v>
                </c:pt>
                <c:pt idx="71">
                  <c:v>1.3602856457776154E-2</c:v>
                </c:pt>
                <c:pt idx="72">
                  <c:v>7.8919227924350119E-2</c:v>
                </c:pt>
                <c:pt idx="73">
                  <c:v>9.5248198322491359E-2</c:v>
                </c:pt>
                <c:pt idx="74">
                  <c:v>9.5248198322491359E-2</c:v>
                </c:pt>
                <c:pt idx="75">
                  <c:v>1.360285645777572E-2</c:v>
                </c:pt>
                <c:pt idx="76">
                  <c:v>7.8919227924350549E-2</c:v>
                </c:pt>
                <c:pt idx="77">
                  <c:v>0.11157765859464247</c:v>
                </c:pt>
                <c:pt idx="78">
                  <c:v>6.2589767652198994E-2</c:v>
                </c:pt>
                <c:pt idx="79">
                  <c:v>0.16056505966307605</c:v>
                </c:pt>
                <c:pt idx="80">
                  <c:v>2.9931826855916957E-2</c:v>
                </c:pt>
                <c:pt idx="81">
                  <c:v>6.2590257526209309E-2</c:v>
                </c:pt>
                <c:pt idx="82">
                  <c:v>9.5248198322491137E-2</c:v>
                </c:pt>
                <c:pt idx="83">
                  <c:v>-2.7266038143754015E-3</c:v>
                </c:pt>
                <c:pt idx="84">
                  <c:v>0.11157765859464269</c:v>
                </c:pt>
                <c:pt idx="85">
                  <c:v>2.9931826855916957E-2</c:v>
                </c:pt>
                <c:pt idx="86">
                  <c:v>6.2590257526209309E-2</c:v>
                </c:pt>
                <c:pt idx="87">
                  <c:v>4.6260797254057975E-2</c:v>
                </c:pt>
                <c:pt idx="88">
                  <c:v>6.2590257526209309E-2</c:v>
                </c:pt>
                <c:pt idx="89">
                  <c:v>9.5248198322491137E-2</c:v>
                </c:pt>
                <c:pt idx="90">
                  <c:v>4.6260797254057975E-2</c:v>
                </c:pt>
                <c:pt idx="91">
                  <c:v>9.5248688196501896E-2</c:v>
                </c:pt>
                <c:pt idx="92">
                  <c:v>2.9931826855916957E-2</c:v>
                </c:pt>
                <c:pt idx="93">
                  <c:v>6.2589767652198564E-2</c:v>
                </c:pt>
                <c:pt idx="94">
                  <c:v>9.5248688196501896E-2</c:v>
                </c:pt>
                <c:pt idx="95">
                  <c:v>0.11157716872063216</c:v>
                </c:pt>
                <c:pt idx="96">
                  <c:v>0.11157765859464269</c:v>
                </c:pt>
                <c:pt idx="97">
                  <c:v>-2.7266038143754015E-3</c:v>
                </c:pt>
                <c:pt idx="98">
                  <c:v>1.3602856457775939E-2</c:v>
                </c:pt>
                <c:pt idx="99">
                  <c:v>2.9931826855916957E-2</c:v>
                </c:pt>
                <c:pt idx="100">
                  <c:v>7.8919227924350327E-2</c:v>
                </c:pt>
                <c:pt idx="101">
                  <c:v>9.5248198322491137E-2</c:v>
                </c:pt>
                <c:pt idx="102">
                  <c:v>1.3602856457776154E-2</c:v>
                </c:pt>
                <c:pt idx="103">
                  <c:v>-5.1714004882808778E-2</c:v>
                </c:pt>
                <c:pt idx="104">
                  <c:v>-0.11703037634938317</c:v>
                </c:pt>
                <c:pt idx="105">
                  <c:v>-8.4371945679090607E-2</c:v>
                </c:pt>
                <c:pt idx="106">
                  <c:v>-3.5384544610657223E-2</c:v>
                </c:pt>
                <c:pt idx="107">
                  <c:v>0.12790662899278371</c:v>
                </c:pt>
                <c:pt idx="108">
                  <c:v>2.9931826855916957E-2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8B-C040-B795-3CBA6F4CB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77055"/>
        <c:axId val="141055807"/>
      </c:scatterChart>
      <c:valAx>
        <c:axId val="140577055"/>
        <c:scaling>
          <c:orientation val="minMax"/>
          <c:max val="0.55000000000000004"/>
          <c:min val="-0.3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</a:t>
                </a:r>
                <a:r>
                  <a:rPr lang="en-US"/>
                  <a:t>U. Rate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141055807"/>
        <c:crosses val="autoZero"/>
        <c:crossBetween val="midCat"/>
        <c:majorUnit val="0.2"/>
      </c:valAx>
      <c:valAx>
        <c:axId val="141055807"/>
        <c:scaling>
          <c:orientation val="minMax"/>
          <c:max val="1.7"/>
          <c:min val="-0.8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Inflation Rate,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0577055"/>
        <c:crosses val="autoZero"/>
        <c:crossBetween val="midCat"/>
        <c:majorUnit val="1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'PC ANOVA Table'!$F$25:$F$133</c:f>
              <c:numCache>
                <c:formatCode>General</c:formatCode>
                <c:ptCount val="109"/>
                <c:pt idx="0">
                  <c:v>0.45871559633027525</c:v>
                </c:pt>
                <c:pt idx="1">
                  <c:v>1.3761467889908259</c:v>
                </c:pt>
                <c:pt idx="2">
                  <c:v>2.2935779816513762</c:v>
                </c:pt>
                <c:pt idx="3">
                  <c:v>3.2110091743119269</c:v>
                </c:pt>
                <c:pt idx="4">
                  <c:v>4.1284403669724776</c:v>
                </c:pt>
                <c:pt idx="5">
                  <c:v>5.0458715596330279</c:v>
                </c:pt>
                <c:pt idx="6">
                  <c:v>5.9633027522935791</c:v>
                </c:pt>
                <c:pt idx="7">
                  <c:v>6.8807339449541294</c:v>
                </c:pt>
                <c:pt idx="8">
                  <c:v>7.7981651376146797</c:v>
                </c:pt>
                <c:pt idx="9">
                  <c:v>8.7155963302752308</c:v>
                </c:pt>
                <c:pt idx="10">
                  <c:v>9.6330275229357802</c:v>
                </c:pt>
                <c:pt idx="11">
                  <c:v>10.550458715596331</c:v>
                </c:pt>
                <c:pt idx="12">
                  <c:v>11.467889908256883</c:v>
                </c:pt>
                <c:pt idx="13">
                  <c:v>12.385321100917432</c:v>
                </c:pt>
                <c:pt idx="14">
                  <c:v>13.302752293577983</c:v>
                </c:pt>
                <c:pt idx="15">
                  <c:v>14.220183486238533</c:v>
                </c:pt>
                <c:pt idx="16">
                  <c:v>15.137614678899084</c:v>
                </c:pt>
                <c:pt idx="17">
                  <c:v>16.055045871559635</c:v>
                </c:pt>
                <c:pt idx="18">
                  <c:v>16.972477064220186</c:v>
                </c:pt>
                <c:pt idx="19">
                  <c:v>17.889908256880734</c:v>
                </c:pt>
                <c:pt idx="20">
                  <c:v>18.807339449541285</c:v>
                </c:pt>
                <c:pt idx="21">
                  <c:v>19.724770642201836</c:v>
                </c:pt>
                <c:pt idx="22">
                  <c:v>20.642201834862387</c:v>
                </c:pt>
                <c:pt idx="23">
                  <c:v>21.559633027522938</c:v>
                </c:pt>
                <c:pt idx="24">
                  <c:v>22.47706422018349</c:v>
                </c:pt>
                <c:pt idx="25">
                  <c:v>23.394495412844037</c:v>
                </c:pt>
                <c:pt idx="26">
                  <c:v>24.311926605504588</c:v>
                </c:pt>
                <c:pt idx="27">
                  <c:v>25.22935779816514</c:v>
                </c:pt>
                <c:pt idx="28">
                  <c:v>26.146788990825691</c:v>
                </c:pt>
                <c:pt idx="29">
                  <c:v>27.064220183486242</c:v>
                </c:pt>
                <c:pt idx="30">
                  <c:v>27.98165137614679</c:v>
                </c:pt>
                <c:pt idx="31">
                  <c:v>28.899082568807341</c:v>
                </c:pt>
                <c:pt idx="32">
                  <c:v>29.816513761467892</c:v>
                </c:pt>
                <c:pt idx="33">
                  <c:v>30.733944954128443</c:v>
                </c:pt>
                <c:pt idx="34">
                  <c:v>31.651376146788994</c:v>
                </c:pt>
                <c:pt idx="35">
                  <c:v>32.568807339449542</c:v>
                </c:pt>
                <c:pt idx="36">
                  <c:v>33.486238532110093</c:v>
                </c:pt>
                <c:pt idx="37">
                  <c:v>34.403669724770644</c:v>
                </c:pt>
                <c:pt idx="38">
                  <c:v>35.321100917431188</c:v>
                </c:pt>
                <c:pt idx="39">
                  <c:v>36.238532110091739</c:v>
                </c:pt>
                <c:pt idx="40">
                  <c:v>37.155963302752291</c:v>
                </c:pt>
                <c:pt idx="41">
                  <c:v>38.073394495412842</c:v>
                </c:pt>
                <c:pt idx="42">
                  <c:v>38.990825688073393</c:v>
                </c:pt>
                <c:pt idx="43">
                  <c:v>39.908256880733944</c:v>
                </c:pt>
                <c:pt idx="44">
                  <c:v>40.825688073394495</c:v>
                </c:pt>
                <c:pt idx="45">
                  <c:v>41.743119266055047</c:v>
                </c:pt>
                <c:pt idx="46">
                  <c:v>42.660550458715598</c:v>
                </c:pt>
                <c:pt idx="47">
                  <c:v>43.577981651376149</c:v>
                </c:pt>
                <c:pt idx="48">
                  <c:v>44.4954128440367</c:v>
                </c:pt>
                <c:pt idx="49">
                  <c:v>45.412844036697244</c:v>
                </c:pt>
                <c:pt idx="50">
                  <c:v>46.330275229357795</c:v>
                </c:pt>
                <c:pt idx="51">
                  <c:v>47.247706422018346</c:v>
                </c:pt>
                <c:pt idx="52">
                  <c:v>48.165137614678898</c:v>
                </c:pt>
                <c:pt idx="53">
                  <c:v>49.082568807339449</c:v>
                </c:pt>
                <c:pt idx="54">
                  <c:v>50</c:v>
                </c:pt>
                <c:pt idx="55">
                  <c:v>50.917431192660551</c:v>
                </c:pt>
                <c:pt idx="56">
                  <c:v>51.834862385321102</c:v>
                </c:pt>
                <c:pt idx="57">
                  <c:v>52.752293577981654</c:v>
                </c:pt>
                <c:pt idx="58">
                  <c:v>53.669724770642205</c:v>
                </c:pt>
                <c:pt idx="59">
                  <c:v>54.587155963302749</c:v>
                </c:pt>
                <c:pt idx="60">
                  <c:v>55.5045871559633</c:v>
                </c:pt>
                <c:pt idx="61">
                  <c:v>56.422018348623851</c:v>
                </c:pt>
                <c:pt idx="62">
                  <c:v>57.339449541284402</c:v>
                </c:pt>
                <c:pt idx="63">
                  <c:v>58.256880733944953</c:v>
                </c:pt>
                <c:pt idx="64">
                  <c:v>59.174311926605505</c:v>
                </c:pt>
                <c:pt idx="65">
                  <c:v>60.091743119266056</c:v>
                </c:pt>
                <c:pt idx="66">
                  <c:v>61.009174311926607</c:v>
                </c:pt>
                <c:pt idx="67">
                  <c:v>61.926605504587158</c:v>
                </c:pt>
                <c:pt idx="68">
                  <c:v>62.844036697247709</c:v>
                </c:pt>
                <c:pt idx="69">
                  <c:v>63.761467889908261</c:v>
                </c:pt>
                <c:pt idx="70">
                  <c:v>64.678899082568819</c:v>
                </c:pt>
                <c:pt idx="71">
                  <c:v>65.596330275229363</c:v>
                </c:pt>
                <c:pt idx="72">
                  <c:v>66.513761467889921</c:v>
                </c:pt>
                <c:pt idx="73">
                  <c:v>67.431192660550465</c:v>
                </c:pt>
                <c:pt idx="74">
                  <c:v>68.348623853211024</c:v>
                </c:pt>
                <c:pt idx="75">
                  <c:v>69.266055045871568</c:v>
                </c:pt>
                <c:pt idx="76">
                  <c:v>70.183486238532112</c:v>
                </c:pt>
                <c:pt idx="77">
                  <c:v>71.10091743119267</c:v>
                </c:pt>
                <c:pt idx="78">
                  <c:v>72.018348623853214</c:v>
                </c:pt>
                <c:pt idx="79">
                  <c:v>72.935779816513772</c:v>
                </c:pt>
                <c:pt idx="80">
                  <c:v>73.853211009174316</c:v>
                </c:pt>
                <c:pt idx="81">
                  <c:v>74.770642201834875</c:v>
                </c:pt>
                <c:pt idx="82">
                  <c:v>75.688073394495419</c:v>
                </c:pt>
                <c:pt idx="83">
                  <c:v>76.605504587155977</c:v>
                </c:pt>
                <c:pt idx="84">
                  <c:v>77.522935779816521</c:v>
                </c:pt>
                <c:pt idx="85">
                  <c:v>78.440366972477079</c:v>
                </c:pt>
                <c:pt idx="86">
                  <c:v>79.357798165137623</c:v>
                </c:pt>
                <c:pt idx="87">
                  <c:v>80.275229357798167</c:v>
                </c:pt>
                <c:pt idx="88">
                  <c:v>81.192660550458726</c:v>
                </c:pt>
                <c:pt idx="89">
                  <c:v>82.11009174311927</c:v>
                </c:pt>
                <c:pt idx="90">
                  <c:v>83.027522935779828</c:v>
                </c:pt>
                <c:pt idx="91">
                  <c:v>83.944954128440372</c:v>
                </c:pt>
                <c:pt idx="92">
                  <c:v>84.86238532110093</c:v>
                </c:pt>
                <c:pt idx="93">
                  <c:v>85.779816513761475</c:v>
                </c:pt>
                <c:pt idx="94">
                  <c:v>86.697247706422033</c:v>
                </c:pt>
                <c:pt idx="95">
                  <c:v>87.614678899082577</c:v>
                </c:pt>
                <c:pt idx="96">
                  <c:v>88.532110091743135</c:v>
                </c:pt>
                <c:pt idx="97">
                  <c:v>89.449541284403679</c:v>
                </c:pt>
                <c:pt idx="98">
                  <c:v>90.366972477064223</c:v>
                </c:pt>
                <c:pt idx="99">
                  <c:v>91.284403669724782</c:v>
                </c:pt>
                <c:pt idx="100">
                  <c:v>92.201834862385326</c:v>
                </c:pt>
                <c:pt idx="101">
                  <c:v>93.119266055045884</c:v>
                </c:pt>
                <c:pt idx="102">
                  <c:v>94.036697247706428</c:v>
                </c:pt>
                <c:pt idx="103">
                  <c:v>94.954128440366986</c:v>
                </c:pt>
                <c:pt idx="104">
                  <c:v>95.87155963302753</c:v>
                </c:pt>
                <c:pt idx="105">
                  <c:v>96.788990825688089</c:v>
                </c:pt>
                <c:pt idx="106">
                  <c:v>97.706422018348633</c:v>
                </c:pt>
                <c:pt idx="107">
                  <c:v>98.623853211009177</c:v>
                </c:pt>
                <c:pt idx="108">
                  <c:v>99.541284403669735</c:v>
                </c:pt>
              </c:numCache>
            </c:numRef>
          </c:xVal>
          <c:yVal>
            <c:numRef>
              <c:f>'PC ANOVA Table'!$G$25:$G$133</c:f>
              <c:numCache>
                <c:formatCode>General</c:formatCode>
                <c:ptCount val="109"/>
                <c:pt idx="0">
                  <c:v>-0.91294847813014246</c:v>
                </c:pt>
                <c:pt idx="1">
                  <c:v>-0.56727743209138404</c:v>
                </c:pt>
                <c:pt idx="2">
                  <c:v>-0.55123327476037964</c:v>
                </c:pt>
                <c:pt idx="3">
                  <c:v>-0.52883905773175244</c:v>
                </c:pt>
                <c:pt idx="4">
                  <c:v>-0.4666274454725664</c:v>
                </c:pt>
                <c:pt idx="5">
                  <c:v>-0.45774501029927223</c:v>
                </c:pt>
                <c:pt idx="6">
                  <c:v>-0.45602329720437318</c:v>
                </c:pt>
                <c:pt idx="7">
                  <c:v>-0.42777137063000259</c:v>
                </c:pt>
                <c:pt idx="8">
                  <c:v>-0.42657001325141125</c:v>
                </c:pt>
                <c:pt idx="9">
                  <c:v>-0.40177756733694597</c:v>
                </c:pt>
                <c:pt idx="10">
                  <c:v>-0.39774205907814575</c:v>
                </c:pt>
                <c:pt idx="11">
                  <c:v>-0.36076676198164453</c:v>
                </c:pt>
                <c:pt idx="12">
                  <c:v>-0.35125133611913434</c:v>
                </c:pt>
                <c:pt idx="13">
                  <c:v>-0.33179538582722223</c:v>
                </c:pt>
                <c:pt idx="14">
                  <c:v>-0.32917210807931929</c:v>
                </c:pt>
                <c:pt idx="15">
                  <c:v>-0.2992133126838768</c:v>
                </c:pt>
                <c:pt idx="16">
                  <c:v>-0.29885642174461224</c:v>
                </c:pt>
                <c:pt idx="17">
                  <c:v>-0.29771447646416355</c:v>
                </c:pt>
                <c:pt idx="18">
                  <c:v>-0.29751617253534057</c:v>
                </c:pt>
                <c:pt idx="19">
                  <c:v>-0.29741932300403529</c:v>
                </c:pt>
                <c:pt idx="20">
                  <c:v>-0.29667345553293117</c:v>
                </c:pt>
                <c:pt idx="21">
                  <c:v>-0.27149384604617383</c:v>
                </c:pt>
                <c:pt idx="22">
                  <c:v>-0.23718781420770368</c:v>
                </c:pt>
                <c:pt idx="23">
                  <c:v>-0.2307515674294231</c:v>
                </c:pt>
                <c:pt idx="24">
                  <c:v>-0.22906126752708636</c:v>
                </c:pt>
                <c:pt idx="25">
                  <c:v>-0.21134054857418452</c:v>
                </c:pt>
                <c:pt idx="26">
                  <c:v>-0.2111174492309239</c:v>
                </c:pt>
                <c:pt idx="27">
                  <c:v>-0.21082073694182255</c:v>
                </c:pt>
                <c:pt idx="28">
                  <c:v>-0.20122715711178882</c:v>
                </c:pt>
                <c:pt idx="29">
                  <c:v>-0.19880595286518254</c:v>
                </c:pt>
                <c:pt idx="30">
                  <c:v>-0.19442525124681254</c:v>
                </c:pt>
                <c:pt idx="31">
                  <c:v>-0.18668084798978749</c:v>
                </c:pt>
                <c:pt idx="32">
                  <c:v>-0.17531260844684929</c:v>
                </c:pt>
                <c:pt idx="33">
                  <c:v>-0.16234169597278145</c:v>
                </c:pt>
                <c:pt idx="34">
                  <c:v>-0.13595764811596911</c:v>
                </c:pt>
                <c:pt idx="35">
                  <c:v>-0.13258122499916455</c:v>
                </c:pt>
                <c:pt idx="36">
                  <c:v>-0.13236187305480746</c:v>
                </c:pt>
                <c:pt idx="37">
                  <c:v>-0.13205598068853458</c:v>
                </c:pt>
                <c:pt idx="38">
                  <c:v>-0.13161043311797579</c:v>
                </c:pt>
                <c:pt idx="39">
                  <c:v>-0.13008050784396949</c:v>
                </c:pt>
                <c:pt idx="40">
                  <c:v>-0.10189645914558544</c:v>
                </c:pt>
                <c:pt idx="41">
                  <c:v>-9.988471067284542E-2</c:v>
                </c:pt>
                <c:pt idx="42">
                  <c:v>-9.9281283794999203E-2</c:v>
                </c:pt>
                <c:pt idx="43">
                  <c:v>-9.9178070574263949E-2</c:v>
                </c:pt>
                <c:pt idx="44">
                  <c:v>-6.7796474783000882E-2</c:v>
                </c:pt>
                <c:pt idx="45">
                  <c:v>-6.624299587735466E-2</c:v>
                </c:pt>
                <c:pt idx="46">
                  <c:v>-6.6180936527403728E-2</c:v>
                </c:pt>
                <c:pt idx="47">
                  <c:v>-6.6074355714989291E-2</c:v>
                </c:pt>
                <c:pt idx="48">
                  <c:v>-3.3745662184764727E-2</c:v>
                </c:pt>
                <c:pt idx="49">
                  <c:v>-3.3460581958242981E-2</c:v>
                </c:pt>
                <c:pt idx="50">
                  <c:v>-3.3336611450502804E-2</c:v>
                </c:pt>
                <c:pt idx="51">
                  <c:v>-3.3126649828232345E-2</c:v>
                </c:pt>
                <c:pt idx="52">
                  <c:v>-3.2967724597620179E-2</c:v>
                </c:pt>
                <c:pt idx="53">
                  <c:v>-3.2567528942777181E-2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3.1158036258628438E-2</c:v>
                </c:pt>
                <c:pt idx="61">
                  <c:v>3.1676296769733381E-2</c:v>
                </c:pt>
                <c:pt idx="62">
                  <c:v>3.2938679346104623E-2</c:v>
                </c:pt>
                <c:pt idx="63">
                  <c:v>3.3030015873439872E-2</c:v>
                </c:pt>
                <c:pt idx="64">
                  <c:v>3.3138297850401184E-2</c:v>
                </c:pt>
                <c:pt idx="65">
                  <c:v>3.3271682862153484E-2</c:v>
                </c:pt>
                <c:pt idx="66">
                  <c:v>3.3415955922394415E-2</c:v>
                </c:pt>
                <c:pt idx="67">
                  <c:v>3.369901837065286E-2</c:v>
                </c:pt>
                <c:pt idx="68">
                  <c:v>3.3993452177833158E-2</c:v>
                </c:pt>
                <c:pt idx="69">
                  <c:v>3.4026611336497113E-2</c:v>
                </c:pt>
                <c:pt idx="70">
                  <c:v>6.6224764696893201E-2</c:v>
                </c:pt>
                <c:pt idx="71">
                  <c:v>6.770467202121333E-2</c:v>
                </c:pt>
                <c:pt idx="72">
                  <c:v>0.10577685416248743</c:v>
                </c:pt>
                <c:pt idx="73">
                  <c:v>0.10600111446412892</c:v>
                </c:pt>
                <c:pt idx="74">
                  <c:v>0.10612402982813116</c:v>
                </c:pt>
                <c:pt idx="75">
                  <c:v>0.13255050885582897</c:v>
                </c:pt>
                <c:pt idx="76">
                  <c:v>0.13382435110464538</c:v>
                </c:pt>
                <c:pt idx="77">
                  <c:v>0.16600679189765274</c:v>
                </c:pt>
                <c:pt idx="78">
                  <c:v>0.16644996622124417</c:v>
                </c:pt>
                <c:pt idx="79">
                  <c:v>0.16706356980490059</c:v>
                </c:pt>
                <c:pt idx="80">
                  <c:v>0.17623953704326636</c:v>
                </c:pt>
                <c:pt idx="81">
                  <c:v>0.19781221286743408</c:v>
                </c:pt>
                <c:pt idx="82">
                  <c:v>0.20256277497912503</c:v>
                </c:pt>
                <c:pt idx="83">
                  <c:v>0.20352740875737152</c:v>
                </c:pt>
                <c:pt idx="84">
                  <c:v>0.20934955546504222</c:v>
                </c:pt>
                <c:pt idx="85">
                  <c:v>0.23095011337643076</c:v>
                </c:pt>
                <c:pt idx="86">
                  <c:v>0.30312778041845423</c:v>
                </c:pt>
                <c:pt idx="87">
                  <c:v>0.32949962548475659</c:v>
                </c:pt>
                <c:pt idx="88">
                  <c:v>0.33086827613719222</c:v>
                </c:pt>
                <c:pt idx="89">
                  <c:v>0.33233640338136555</c:v>
                </c:pt>
                <c:pt idx="90">
                  <c:v>0.3683617424803094</c:v>
                </c:pt>
                <c:pt idx="91">
                  <c:v>0.37412532045692842</c:v>
                </c:pt>
                <c:pt idx="92">
                  <c:v>0.40007152555760356</c:v>
                </c:pt>
                <c:pt idx="93">
                  <c:v>0.40575389312490601</c:v>
                </c:pt>
                <c:pt idx="94">
                  <c:v>0.40889592077879183</c:v>
                </c:pt>
                <c:pt idx="95">
                  <c:v>0.42691822048961137</c:v>
                </c:pt>
                <c:pt idx="96">
                  <c:v>0.44245639821758087</c:v>
                </c:pt>
                <c:pt idx="97">
                  <c:v>0.45887604283272432</c:v>
                </c:pt>
                <c:pt idx="98">
                  <c:v>0.46465032659204891</c:v>
                </c:pt>
                <c:pt idx="99">
                  <c:v>0.46744978966701034</c:v>
                </c:pt>
                <c:pt idx="100">
                  <c:v>0.49087323738198418</c:v>
                </c:pt>
                <c:pt idx="101">
                  <c:v>0.50422315365781101</c:v>
                </c:pt>
                <c:pt idx="102">
                  <c:v>0.56328812666963102</c:v>
                </c:pt>
                <c:pt idx="103">
                  <c:v>0.60627051832209344</c:v>
                </c:pt>
                <c:pt idx="104">
                  <c:v>0.67067458626531795</c:v>
                </c:pt>
                <c:pt idx="105">
                  <c:v>0.72722837730723289</c:v>
                </c:pt>
                <c:pt idx="106">
                  <c:v>0.85023727054946208</c:v>
                </c:pt>
                <c:pt idx="107">
                  <c:v>1.4775031203214812</c:v>
                </c:pt>
                <c:pt idx="108">
                  <c:v>2.1935934755129152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24-BF4F-BE5B-230D29413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425183"/>
        <c:axId val="173426911"/>
      </c:scatterChart>
      <c:valAx>
        <c:axId val="173425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426911"/>
        <c:crosses val="autoZero"/>
        <c:crossBetween val="midCat"/>
      </c:valAx>
      <c:valAx>
        <c:axId val="1734269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Inflation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42518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HP(real int)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DATA!$Q$2:$Q$110</c:f>
              <c:numCache>
                <c:formatCode>General</c:formatCode>
                <c:ptCount val="109"/>
                <c:pt idx="0">
                  <c:v>1.8187199995768473</c:v>
                </c:pt>
                <c:pt idx="1">
                  <c:v>1.6859878004772451</c:v>
                </c:pt>
                <c:pt idx="2">
                  <c:v>1.5535949519079009</c:v>
                </c:pt>
                <c:pt idx="3">
                  <c:v>1.4221087445011127</c:v>
                </c:pt>
                <c:pt idx="4">
                  <c:v>1.2922317534256942</c:v>
                </c:pt>
                <c:pt idx="5">
                  <c:v>1.1653097528583405</c:v>
                </c:pt>
                <c:pt idx="6">
                  <c:v>1.0430210054502831</c:v>
                </c:pt>
                <c:pt idx="7">
                  <c:v>0.92690920525721687</c:v>
                </c:pt>
                <c:pt idx="8">
                  <c:v>0.81818074358858706</c:v>
                </c:pt>
                <c:pt idx="9">
                  <c:v>0.71773585682596164</c:v>
                </c:pt>
                <c:pt idx="10">
                  <c:v>0.62629075942503132</c:v>
                </c:pt>
                <c:pt idx="11">
                  <c:v>0.54428647919660844</c:v>
                </c:pt>
                <c:pt idx="12">
                  <c:v>0.47205155034038282</c:v>
                </c:pt>
                <c:pt idx="13">
                  <c:v>0.40968487314378493</c:v>
                </c:pt>
                <c:pt idx="14">
                  <c:v>0.35637937622508153</c:v>
                </c:pt>
                <c:pt idx="15">
                  <c:v>0.31117139248423881</c:v>
                </c:pt>
                <c:pt idx="16">
                  <c:v>0.27319512253895573</c:v>
                </c:pt>
                <c:pt idx="17">
                  <c:v>0.24152094106576838</c:v>
                </c:pt>
                <c:pt idx="18">
                  <c:v>0.21540573231032475</c:v>
                </c:pt>
                <c:pt idx="19">
                  <c:v>0.19439710083981471</c:v>
                </c:pt>
                <c:pt idx="20">
                  <c:v>0.1776035049029171</c:v>
                </c:pt>
                <c:pt idx="21">
                  <c:v>0.16442226081856806</c:v>
                </c:pt>
                <c:pt idx="22">
                  <c:v>0.15430265244478281</c:v>
                </c:pt>
                <c:pt idx="23">
                  <c:v>0.14665124619888678</c:v>
                </c:pt>
                <c:pt idx="24">
                  <c:v>0.14097661694826208</c:v>
                </c:pt>
                <c:pt idx="25">
                  <c:v>0.1366883848459354</c:v>
                </c:pt>
                <c:pt idx="26">
                  <c:v>0.13324207544137007</c:v>
                </c:pt>
                <c:pt idx="27">
                  <c:v>0.13012174760348366</c:v>
                </c:pt>
                <c:pt idx="28">
                  <c:v>0.12696573422144541</c:v>
                </c:pt>
                <c:pt idx="29">
                  <c:v>0.12350764679776161</c:v>
                </c:pt>
                <c:pt idx="30">
                  <c:v>0.11969925781180285</c:v>
                </c:pt>
                <c:pt idx="31">
                  <c:v>0.11556456075589561</c:v>
                </c:pt>
                <c:pt idx="32">
                  <c:v>0.11128009131247245</c:v>
                </c:pt>
                <c:pt idx="33">
                  <c:v>0.10715651488104312</c:v>
                </c:pt>
                <c:pt idx="34">
                  <c:v>0.10341492804412616</c:v>
                </c:pt>
                <c:pt idx="35">
                  <c:v>0.10029323955036978</c:v>
                </c:pt>
                <c:pt idx="36">
                  <c:v>9.8027960112503518E-2</c:v>
                </c:pt>
                <c:pt idx="37">
                  <c:v>9.6835530253867541E-2</c:v>
                </c:pt>
                <c:pt idx="38">
                  <c:v>9.6830357544796145E-2</c:v>
                </c:pt>
                <c:pt idx="39">
                  <c:v>9.8150303519874235E-2</c:v>
                </c:pt>
                <c:pt idx="40">
                  <c:v>0.10099758946076196</c:v>
                </c:pt>
                <c:pt idx="41">
                  <c:v>0.1054093384644835</c:v>
                </c:pt>
                <c:pt idx="42">
                  <c:v>0.11144241340027457</c:v>
                </c:pt>
                <c:pt idx="43">
                  <c:v>0.11908779630083058</c:v>
                </c:pt>
                <c:pt idx="44">
                  <c:v>0.12797703623635173</c:v>
                </c:pt>
                <c:pt idx="45">
                  <c:v>0.13799840181543258</c:v>
                </c:pt>
                <c:pt idx="46">
                  <c:v>0.14914687254681003</c:v>
                </c:pt>
                <c:pt idx="47">
                  <c:v>0.16153917605422841</c:v>
                </c:pt>
                <c:pt idx="48">
                  <c:v>0.17509541693720196</c:v>
                </c:pt>
                <c:pt idx="49">
                  <c:v>0.18942765255809768</c:v>
                </c:pt>
                <c:pt idx="50">
                  <c:v>0.20406045979983947</c:v>
                </c:pt>
                <c:pt idx="51">
                  <c:v>0.21841405419446749</c:v>
                </c:pt>
                <c:pt idx="52">
                  <c:v>0.23200191428901892</c:v>
                </c:pt>
                <c:pt idx="53">
                  <c:v>0.24440928671908277</c:v>
                </c:pt>
                <c:pt idx="54">
                  <c:v>0.25539579192381745</c:v>
                </c:pt>
                <c:pt idx="55">
                  <c:v>0.26485945810202544</c:v>
                </c:pt>
                <c:pt idx="56">
                  <c:v>0.27250288600338829</c:v>
                </c:pt>
                <c:pt idx="57">
                  <c:v>0.27797095195034588</c:v>
                </c:pt>
                <c:pt idx="58">
                  <c:v>0.28078764407377993</c:v>
                </c:pt>
                <c:pt idx="59">
                  <c:v>0.28008619536550977</c:v>
                </c:pt>
                <c:pt idx="60">
                  <c:v>0.27547324233653392</c:v>
                </c:pt>
                <c:pt idx="61">
                  <c:v>0.26702596042457877</c:v>
                </c:pt>
                <c:pt idx="62">
                  <c:v>0.2549817113975541</c:v>
                </c:pt>
                <c:pt idx="63">
                  <c:v>0.23966060287498189</c:v>
                </c:pt>
                <c:pt idx="64">
                  <c:v>0.22153821769368454</c:v>
                </c:pt>
                <c:pt idx="65">
                  <c:v>0.20087671818064537</c:v>
                </c:pt>
                <c:pt idx="66">
                  <c:v>0.17796750065706851</c:v>
                </c:pt>
                <c:pt idx="67">
                  <c:v>0.15325469558036964</c:v>
                </c:pt>
                <c:pt idx="68">
                  <c:v>0.12701792900940165</c:v>
                </c:pt>
                <c:pt idx="69">
                  <c:v>9.962611622404903E-2</c:v>
                </c:pt>
                <c:pt idx="70">
                  <c:v>7.140753629856543E-2</c:v>
                </c:pt>
                <c:pt idx="71">
                  <c:v>4.2607716450712874E-2</c:v>
                </c:pt>
                <c:pt idx="72">
                  <c:v>1.3610267030925669E-2</c:v>
                </c:pt>
                <c:pt idx="73">
                  <c:v>-1.5464628959914024E-2</c:v>
                </c:pt>
                <c:pt idx="74">
                  <c:v>-4.4326656977229734E-2</c:v>
                </c:pt>
                <c:pt idx="75">
                  <c:v>-7.2337246451907991E-2</c:v>
                </c:pt>
                <c:pt idx="76">
                  <c:v>-9.8776997654224555E-2</c:v>
                </c:pt>
                <c:pt idx="77">
                  <c:v>-0.12289575259406531</c:v>
                </c:pt>
                <c:pt idx="78">
                  <c:v>-0.14390286835432231</c:v>
                </c:pt>
                <c:pt idx="79">
                  <c:v>-0.16130443878893216</c:v>
                </c:pt>
                <c:pt idx="80">
                  <c:v>-0.17477966423247376</c:v>
                </c:pt>
                <c:pt idx="81">
                  <c:v>-0.18399214821744855</c:v>
                </c:pt>
                <c:pt idx="82">
                  <c:v>-0.18982662790840832</c:v>
                </c:pt>
                <c:pt idx="83">
                  <c:v>-0.19326715532775565</c:v>
                </c:pt>
                <c:pt idx="84">
                  <c:v>-0.19497258220167152</c:v>
                </c:pt>
                <c:pt idx="85">
                  <c:v>-0.19545598491634236</c:v>
                </c:pt>
                <c:pt idx="86">
                  <c:v>-0.19530428531936408</c:v>
                </c:pt>
                <c:pt idx="87">
                  <c:v>-0.19493599526775984</c:v>
                </c:pt>
                <c:pt idx="88">
                  <c:v>-0.1944518190563484</c:v>
                </c:pt>
                <c:pt idx="89">
                  <c:v>-0.19372069069594017</c:v>
                </c:pt>
                <c:pt idx="90">
                  <c:v>-0.19253438271804657</c:v>
                </c:pt>
                <c:pt idx="91">
                  <c:v>-0.19050549369242153</c:v>
                </c:pt>
                <c:pt idx="92">
                  <c:v>-0.18742594844850621</c:v>
                </c:pt>
                <c:pt idx="93">
                  <c:v>-0.18295435808544458</c:v>
                </c:pt>
                <c:pt idx="94">
                  <c:v>-0.1767931471150736</c:v>
                </c:pt>
                <c:pt idx="95">
                  <c:v>-0.16860645899544013</c:v>
                </c:pt>
                <c:pt idx="96">
                  <c:v>-0.15822466265084723</c:v>
                </c:pt>
                <c:pt idx="97">
                  <c:v>-0.14577666704267703</c:v>
                </c:pt>
                <c:pt idx="98">
                  <c:v>-0.13108075473856937</c:v>
                </c:pt>
                <c:pt idx="99">
                  <c:v>-0.11422298736029851</c:v>
                </c:pt>
                <c:pt idx="100">
                  <c:v>-9.5328641277367551E-2</c:v>
                </c:pt>
                <c:pt idx="101">
                  <c:v>-7.447069062845546E-2</c:v>
                </c:pt>
                <c:pt idx="102">
                  <c:v>-5.1809443882570923E-2</c:v>
                </c:pt>
                <c:pt idx="103">
                  <c:v>-2.7523925299531345E-2</c:v>
                </c:pt>
                <c:pt idx="104">
                  <c:v>-2.0245729402010321E-3</c:v>
                </c:pt>
                <c:pt idx="105">
                  <c:v>2.4254582786079074E-2</c:v>
                </c:pt>
                <c:pt idx="106">
                  <c:v>5.104506209164604E-2</c:v>
                </c:pt>
                <c:pt idx="107">
                  <c:v>7.8108154018766168E-2</c:v>
                </c:pt>
                <c:pt idx="108">
                  <c:v>0.10545238659931884</c:v>
                </c:pt>
              </c:numCache>
            </c:numRef>
          </c:xVal>
          <c:yVal>
            <c:numRef>
              <c:f>'IS Curve ANOVA Table'!$C$25:$C$133</c:f>
              <c:numCache>
                <c:formatCode>General</c:formatCode>
                <c:ptCount val="109"/>
                <c:pt idx="0">
                  <c:v>2.7051394774030513E-2</c:v>
                </c:pt>
                <c:pt idx="1">
                  <c:v>2.2370643813554025E-2</c:v>
                </c:pt>
                <c:pt idx="2">
                  <c:v>1.770475002224714E-2</c:v>
                </c:pt>
                <c:pt idx="3">
                  <c:v>1.3075453612452215E-2</c:v>
                </c:pt>
                <c:pt idx="4">
                  <c:v>8.5088695972528328E-3</c:v>
                </c:pt>
                <c:pt idx="5">
                  <c:v>4.0579920715364537E-3</c:v>
                </c:pt>
                <c:pt idx="6">
                  <c:v>-2.1053525832925857E-4</c:v>
                </c:pt>
                <c:pt idx="7">
                  <c:v>-4.2375635295259784E-3</c:v>
                </c:pt>
                <c:pt idx="8">
                  <c:v>-7.97916662566589E-3</c:v>
                </c:pt>
                <c:pt idx="9">
                  <c:v>-1.140544677615285E-2</c:v>
                </c:pt>
                <c:pt idx="10">
                  <c:v>-1.4493361949434735E-2</c:v>
                </c:pt>
                <c:pt idx="11">
                  <c:v>-1.7228623517591579E-2</c:v>
                </c:pt>
                <c:pt idx="12">
                  <c:v>-1.9598307627610723E-2</c:v>
                </c:pt>
                <c:pt idx="13">
                  <c:v>-2.1594294037280193E-2</c:v>
                </c:pt>
                <c:pt idx="14">
                  <c:v>-2.3246162211469468E-2</c:v>
                </c:pt>
                <c:pt idx="15">
                  <c:v>-2.458744413804137E-2</c:v>
                </c:pt>
                <c:pt idx="16">
                  <c:v>-2.5643346968171166E-2</c:v>
                </c:pt>
                <c:pt idx="17">
                  <c:v>-2.6439022653149458E-2</c:v>
                </c:pt>
                <c:pt idx="18">
                  <c:v>-2.6991287977432776E-2</c:v>
                </c:pt>
                <c:pt idx="19">
                  <c:v>-2.7305167643864259E-2</c:v>
                </c:pt>
                <c:pt idx="20">
                  <c:v>-2.7409286953155032E-2</c:v>
                </c:pt>
                <c:pt idx="21">
                  <c:v>-2.7318815652151329E-2</c:v>
                </c:pt>
                <c:pt idx="22">
                  <c:v>-2.7051192729912188E-2</c:v>
                </c:pt>
                <c:pt idx="23">
                  <c:v>-2.6630109452479012E-2</c:v>
                </c:pt>
                <c:pt idx="24">
                  <c:v>-2.607752974995492E-2</c:v>
                </c:pt>
                <c:pt idx="25">
                  <c:v>-2.5423851300842237E-2</c:v>
                </c:pt>
                <c:pt idx="26">
                  <c:v>-2.4696747200147584E-2</c:v>
                </c:pt>
                <c:pt idx="27">
                  <c:v>-2.3921332739213597E-2</c:v>
                </c:pt>
                <c:pt idx="28">
                  <c:v>-2.3114546189221485E-2</c:v>
                </c:pt>
                <c:pt idx="29">
                  <c:v>-2.2285983498053774E-2</c:v>
                </c:pt>
                <c:pt idx="30">
                  <c:v>-2.1430518892755934E-2</c:v>
                </c:pt>
                <c:pt idx="31">
                  <c:v>-2.0538062377155164E-2</c:v>
                </c:pt>
                <c:pt idx="32">
                  <c:v>-1.9593254194890442E-2</c:v>
                </c:pt>
                <c:pt idx="33">
                  <c:v>-1.8578009605741741E-2</c:v>
                </c:pt>
                <c:pt idx="34">
                  <c:v>-1.7482612064521064E-2</c:v>
                </c:pt>
                <c:pt idx="35">
                  <c:v>-1.6299152845765441E-2</c:v>
                </c:pt>
                <c:pt idx="36">
                  <c:v>-1.5022313603524573E-2</c:v>
                </c:pt>
                <c:pt idx="37">
                  <c:v>-1.3650375652546565E-2</c:v>
                </c:pt>
                <c:pt idx="38">
                  <c:v>-1.2189895868735867E-2</c:v>
                </c:pt>
                <c:pt idx="39">
                  <c:v>-1.0648676998924245E-2</c:v>
                </c:pt>
                <c:pt idx="40">
                  <c:v>-9.0338519478692092E-3</c:v>
                </c:pt>
                <c:pt idx="41">
                  <c:v>-7.3610095688536603E-3</c:v>
                </c:pt>
                <c:pt idx="42">
                  <c:v>-5.6441058985257087E-3</c:v>
                </c:pt>
                <c:pt idx="43">
                  <c:v>-3.9005780962222403E-3</c:v>
                </c:pt>
                <c:pt idx="44">
                  <c:v>-2.1647926499577252E-3</c:v>
                </c:pt>
                <c:pt idx="45">
                  <c:v>-4.5951330806115465E-4</c:v>
                </c:pt>
                <c:pt idx="46">
                  <c:v>1.1973713309005873E-3</c:v>
                </c:pt>
                <c:pt idx="47">
                  <c:v>2.7949110778182629E-3</c:v>
                </c:pt>
                <c:pt idx="48">
                  <c:v>4.315693596351089E-3</c:v>
                </c:pt>
                <c:pt idx="49">
                  <c:v>5.7303188790012172E-3</c:v>
                </c:pt>
                <c:pt idx="50">
                  <c:v>7.0079664690627652E-3</c:v>
                </c:pt>
                <c:pt idx="51">
                  <c:v>8.1155296945718547E-3</c:v>
                </c:pt>
                <c:pt idx="52">
                  <c:v>9.0263135318746635E-3</c:v>
                </c:pt>
                <c:pt idx="53">
                  <c:v>9.7224202670815885E-3</c:v>
                </c:pt>
                <c:pt idx="54">
                  <c:v>1.0201319223115846E-2</c:v>
                </c:pt>
                <c:pt idx="55">
                  <c:v>1.0474134608496222E-2</c:v>
                </c:pt>
                <c:pt idx="56">
                  <c:v>1.0548009190542551E-2</c:v>
                </c:pt>
                <c:pt idx="57">
                  <c:v>1.0434125646309411E-2</c:v>
                </c:pt>
                <c:pt idx="58">
                  <c:v>1.0145813571840634E-2</c:v>
                </c:pt>
                <c:pt idx="59">
                  <c:v>9.6840426426467729E-3</c:v>
                </c:pt>
                <c:pt idx="60">
                  <c:v>9.0762346182913234E-3</c:v>
                </c:pt>
                <c:pt idx="61">
                  <c:v>8.3696360929748082E-3</c:v>
                </c:pt>
                <c:pt idx="62">
                  <c:v>7.603049189548905E-3</c:v>
                </c:pt>
                <c:pt idx="63">
                  <c:v>6.8085731629450308E-3</c:v>
                </c:pt>
                <c:pt idx="64">
                  <c:v>6.015129838708333E-3</c:v>
                </c:pt>
                <c:pt idx="65">
                  <c:v>5.233943701953514E-3</c:v>
                </c:pt>
                <c:pt idx="66">
                  <c:v>4.4730446500844678E-3</c:v>
                </c:pt>
                <c:pt idx="67">
                  <c:v>3.7464247109095794E-3</c:v>
                </c:pt>
                <c:pt idx="68">
                  <c:v>3.063266072492965E-3</c:v>
                </c:pt>
                <c:pt idx="69">
                  <c:v>2.4377746127335342E-3</c:v>
                </c:pt>
                <c:pt idx="70">
                  <c:v>1.8795663742867674E-3</c:v>
                </c:pt>
                <c:pt idx="71">
                  <c:v>1.3888785063995712E-3</c:v>
                </c:pt>
                <c:pt idx="72">
                  <c:v>9.7325770496770048E-4</c:v>
                </c:pt>
                <c:pt idx="73">
                  <c:v>6.2720103775681935E-4</c:v>
                </c:pt>
                <c:pt idx="74">
                  <c:v>3.5630518657292498E-4</c:v>
                </c:pt>
                <c:pt idx="75">
                  <c:v>1.827231431663634E-4</c:v>
                </c:pt>
                <c:pt idx="76">
                  <c:v>1.3042636915283623E-4</c:v>
                </c:pt>
                <c:pt idx="77">
                  <c:v>2.2193178458618235E-4</c:v>
                </c:pt>
                <c:pt idx="78">
                  <c:v>4.8161914423072716E-4</c:v>
                </c:pt>
                <c:pt idx="79">
                  <c:v>9.2105285731580722E-4</c:v>
                </c:pt>
                <c:pt idx="80">
                  <c:v>1.5467802266790898E-3</c:v>
                </c:pt>
                <c:pt idx="81">
                  <c:v>2.3684279301789957E-3</c:v>
                </c:pt>
                <c:pt idx="82">
                  <c:v>3.3399474089454984E-3</c:v>
                </c:pt>
                <c:pt idx="83">
                  <c:v>4.4083854385865706E-3</c:v>
                </c:pt>
                <c:pt idx="84">
                  <c:v>5.5339576281605574E-3</c:v>
                </c:pt>
                <c:pt idx="85">
                  <c:v>6.6818611244521264E-3</c:v>
                </c:pt>
                <c:pt idx="86">
                  <c:v>7.8149078478331191E-3</c:v>
                </c:pt>
                <c:pt idx="87">
                  <c:v>8.9049953964215334E-3</c:v>
                </c:pt>
                <c:pt idx="88">
                  <c:v>9.9399639126183104E-3</c:v>
                </c:pt>
                <c:pt idx="89">
                  <c:v>1.0918284019237667E-2</c:v>
                </c:pt>
                <c:pt idx="90">
                  <c:v>1.1842914364928347E-2</c:v>
                </c:pt>
                <c:pt idx="91">
                  <c:v>1.2725223840421407E-2</c:v>
                </c:pt>
                <c:pt idx="92">
                  <c:v>1.3567656262196692E-2</c:v>
                </c:pt>
                <c:pt idx="93">
                  <c:v>1.4378775702730273E-2</c:v>
                </c:pt>
                <c:pt idx="94">
                  <c:v>1.5166316985867567E-2</c:v>
                </c:pt>
                <c:pt idx="95">
                  <c:v>1.5941866334882704E-2</c:v>
                </c:pt>
                <c:pt idx="96">
                  <c:v>1.6712994642502643E-2</c:v>
                </c:pt>
                <c:pt idx="97">
                  <c:v>1.7476768073294124E-2</c:v>
                </c:pt>
                <c:pt idx="98">
                  <c:v>1.8249333551642266E-2</c:v>
                </c:pt>
                <c:pt idx="99">
                  <c:v>1.9038794714039575E-2</c:v>
                </c:pt>
                <c:pt idx="100">
                  <c:v>1.9854906873207234E-2</c:v>
                </c:pt>
                <c:pt idx="101">
                  <c:v>2.0712896946249337E-2</c:v>
                </c:pt>
                <c:pt idx="102">
                  <c:v>2.1627392026112524E-2</c:v>
                </c:pt>
                <c:pt idx="103">
                  <c:v>2.261704565437217E-2</c:v>
                </c:pt>
                <c:pt idx="104">
                  <c:v>2.3694837812193725E-2</c:v>
                </c:pt>
                <c:pt idx="105">
                  <c:v>2.4870296557331528E-2</c:v>
                </c:pt>
                <c:pt idx="106">
                  <c:v>2.6160243173171338E-2</c:v>
                </c:pt>
                <c:pt idx="107">
                  <c:v>2.7560789166327204E-2</c:v>
                </c:pt>
                <c:pt idx="108">
                  <c:v>2.9072173958418546E-2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DA-764E-B75C-2A653D69B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163296"/>
        <c:axId val="420197568"/>
      </c:scatterChart>
      <c:valAx>
        <c:axId val="420163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HP(real int)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0197568"/>
        <c:crosses val="autoZero"/>
        <c:crossBetween val="midCat"/>
      </c:valAx>
      <c:valAx>
        <c:axId val="4201975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layout>
            <c:manualLayout>
              <c:xMode val="edge"/>
              <c:yMode val="edge"/>
              <c:x val="1.7857142857142856E-2"/>
              <c:y val="0.336573413617415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42016329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IS</a:t>
            </a:r>
            <a:r>
              <a:rPr lang="en-US" baseline="0"/>
              <a:t> Curve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HP(logGDP)</c:v>
          </c:tx>
          <c:spPr>
            <a:ln w="19050">
              <a:noFill/>
            </a:ln>
          </c:spPr>
          <c:xVal>
            <c:numRef>
              <c:f>DATA!$Q$2:$Q$110</c:f>
              <c:numCache>
                <c:formatCode>General</c:formatCode>
                <c:ptCount val="109"/>
                <c:pt idx="0">
                  <c:v>1.8187199995768473</c:v>
                </c:pt>
                <c:pt idx="1">
                  <c:v>1.6859878004772451</c:v>
                </c:pt>
                <c:pt idx="2">
                  <c:v>1.5535949519079009</c:v>
                </c:pt>
                <c:pt idx="3">
                  <c:v>1.4221087445011127</c:v>
                </c:pt>
                <c:pt idx="4">
                  <c:v>1.2922317534256942</c:v>
                </c:pt>
                <c:pt idx="5">
                  <c:v>1.1653097528583405</c:v>
                </c:pt>
                <c:pt idx="6">
                  <c:v>1.0430210054502831</c:v>
                </c:pt>
                <c:pt idx="7">
                  <c:v>0.92690920525721687</c:v>
                </c:pt>
                <c:pt idx="8">
                  <c:v>0.81818074358858706</c:v>
                </c:pt>
                <c:pt idx="9">
                  <c:v>0.71773585682596164</c:v>
                </c:pt>
                <c:pt idx="10">
                  <c:v>0.62629075942503132</c:v>
                </c:pt>
                <c:pt idx="11">
                  <c:v>0.54428647919660844</c:v>
                </c:pt>
                <c:pt idx="12">
                  <c:v>0.47205155034038282</c:v>
                </c:pt>
                <c:pt idx="13">
                  <c:v>0.40968487314378493</c:v>
                </c:pt>
                <c:pt idx="14">
                  <c:v>0.35637937622508153</c:v>
                </c:pt>
                <c:pt idx="15">
                  <c:v>0.31117139248423881</c:v>
                </c:pt>
                <c:pt idx="16">
                  <c:v>0.27319512253895573</c:v>
                </c:pt>
                <c:pt idx="17">
                  <c:v>0.24152094106576838</c:v>
                </c:pt>
                <c:pt idx="18">
                  <c:v>0.21540573231032475</c:v>
                </c:pt>
                <c:pt idx="19">
                  <c:v>0.19439710083981471</c:v>
                </c:pt>
                <c:pt idx="20">
                  <c:v>0.1776035049029171</c:v>
                </c:pt>
                <c:pt idx="21">
                  <c:v>0.16442226081856806</c:v>
                </c:pt>
                <c:pt idx="22">
                  <c:v>0.15430265244478281</c:v>
                </c:pt>
                <c:pt idx="23">
                  <c:v>0.14665124619888678</c:v>
                </c:pt>
                <c:pt idx="24">
                  <c:v>0.14097661694826208</c:v>
                </c:pt>
                <c:pt idx="25">
                  <c:v>0.1366883848459354</c:v>
                </c:pt>
                <c:pt idx="26">
                  <c:v>0.13324207544137007</c:v>
                </c:pt>
                <c:pt idx="27">
                  <c:v>0.13012174760348366</c:v>
                </c:pt>
                <c:pt idx="28">
                  <c:v>0.12696573422144541</c:v>
                </c:pt>
                <c:pt idx="29">
                  <c:v>0.12350764679776161</c:v>
                </c:pt>
                <c:pt idx="30">
                  <c:v>0.11969925781180285</c:v>
                </c:pt>
                <c:pt idx="31">
                  <c:v>0.11556456075589561</c:v>
                </c:pt>
                <c:pt idx="32">
                  <c:v>0.11128009131247245</c:v>
                </c:pt>
                <c:pt idx="33">
                  <c:v>0.10715651488104312</c:v>
                </c:pt>
                <c:pt idx="34">
                  <c:v>0.10341492804412616</c:v>
                </c:pt>
                <c:pt idx="35">
                  <c:v>0.10029323955036978</c:v>
                </c:pt>
                <c:pt idx="36">
                  <c:v>9.8027960112503518E-2</c:v>
                </c:pt>
                <c:pt idx="37">
                  <c:v>9.6835530253867541E-2</c:v>
                </c:pt>
                <c:pt idx="38">
                  <c:v>9.6830357544796145E-2</c:v>
                </c:pt>
                <c:pt idx="39">
                  <c:v>9.8150303519874235E-2</c:v>
                </c:pt>
                <c:pt idx="40">
                  <c:v>0.10099758946076196</c:v>
                </c:pt>
                <c:pt idx="41">
                  <c:v>0.1054093384644835</c:v>
                </c:pt>
                <c:pt idx="42">
                  <c:v>0.11144241340027457</c:v>
                </c:pt>
                <c:pt idx="43">
                  <c:v>0.11908779630083058</c:v>
                </c:pt>
                <c:pt idx="44">
                  <c:v>0.12797703623635173</c:v>
                </c:pt>
                <c:pt idx="45">
                  <c:v>0.13799840181543258</c:v>
                </c:pt>
                <c:pt idx="46">
                  <c:v>0.14914687254681003</c:v>
                </c:pt>
                <c:pt idx="47">
                  <c:v>0.16153917605422841</c:v>
                </c:pt>
                <c:pt idx="48">
                  <c:v>0.17509541693720196</c:v>
                </c:pt>
                <c:pt idx="49">
                  <c:v>0.18942765255809768</c:v>
                </c:pt>
                <c:pt idx="50">
                  <c:v>0.20406045979983947</c:v>
                </c:pt>
                <c:pt idx="51">
                  <c:v>0.21841405419446749</c:v>
                </c:pt>
                <c:pt idx="52">
                  <c:v>0.23200191428901892</c:v>
                </c:pt>
                <c:pt idx="53">
                  <c:v>0.24440928671908277</c:v>
                </c:pt>
                <c:pt idx="54">
                  <c:v>0.25539579192381745</c:v>
                </c:pt>
                <c:pt idx="55">
                  <c:v>0.26485945810202544</c:v>
                </c:pt>
                <c:pt idx="56">
                  <c:v>0.27250288600338829</c:v>
                </c:pt>
                <c:pt idx="57">
                  <c:v>0.27797095195034588</c:v>
                </c:pt>
                <c:pt idx="58">
                  <c:v>0.28078764407377993</c:v>
                </c:pt>
                <c:pt idx="59">
                  <c:v>0.28008619536550977</c:v>
                </c:pt>
                <c:pt idx="60">
                  <c:v>0.27547324233653392</c:v>
                </c:pt>
                <c:pt idx="61">
                  <c:v>0.26702596042457877</c:v>
                </c:pt>
                <c:pt idx="62">
                  <c:v>0.2549817113975541</c:v>
                </c:pt>
                <c:pt idx="63">
                  <c:v>0.23966060287498189</c:v>
                </c:pt>
                <c:pt idx="64">
                  <c:v>0.22153821769368454</c:v>
                </c:pt>
                <c:pt idx="65">
                  <c:v>0.20087671818064537</c:v>
                </c:pt>
                <c:pt idx="66">
                  <c:v>0.17796750065706851</c:v>
                </c:pt>
                <c:pt idx="67">
                  <c:v>0.15325469558036964</c:v>
                </c:pt>
                <c:pt idx="68">
                  <c:v>0.12701792900940165</c:v>
                </c:pt>
                <c:pt idx="69">
                  <c:v>9.962611622404903E-2</c:v>
                </c:pt>
                <c:pt idx="70">
                  <c:v>7.140753629856543E-2</c:v>
                </c:pt>
                <c:pt idx="71">
                  <c:v>4.2607716450712874E-2</c:v>
                </c:pt>
                <c:pt idx="72">
                  <c:v>1.3610267030925669E-2</c:v>
                </c:pt>
                <c:pt idx="73">
                  <c:v>-1.5464628959914024E-2</c:v>
                </c:pt>
                <c:pt idx="74">
                  <c:v>-4.4326656977229734E-2</c:v>
                </c:pt>
                <c:pt idx="75">
                  <c:v>-7.2337246451907991E-2</c:v>
                </c:pt>
                <c:pt idx="76">
                  <c:v>-9.8776997654224555E-2</c:v>
                </c:pt>
                <c:pt idx="77">
                  <c:v>-0.12289575259406531</c:v>
                </c:pt>
                <c:pt idx="78">
                  <c:v>-0.14390286835432231</c:v>
                </c:pt>
                <c:pt idx="79">
                  <c:v>-0.16130443878893216</c:v>
                </c:pt>
                <c:pt idx="80">
                  <c:v>-0.17477966423247376</c:v>
                </c:pt>
                <c:pt idx="81">
                  <c:v>-0.18399214821744855</c:v>
                </c:pt>
                <c:pt idx="82">
                  <c:v>-0.18982662790840832</c:v>
                </c:pt>
                <c:pt idx="83">
                  <c:v>-0.19326715532775565</c:v>
                </c:pt>
                <c:pt idx="84">
                  <c:v>-0.19497258220167152</c:v>
                </c:pt>
                <c:pt idx="85">
                  <c:v>-0.19545598491634236</c:v>
                </c:pt>
                <c:pt idx="86">
                  <c:v>-0.19530428531936408</c:v>
                </c:pt>
                <c:pt idx="87">
                  <c:v>-0.19493599526775984</c:v>
                </c:pt>
                <c:pt idx="88">
                  <c:v>-0.1944518190563484</c:v>
                </c:pt>
                <c:pt idx="89">
                  <c:v>-0.19372069069594017</c:v>
                </c:pt>
                <c:pt idx="90">
                  <c:v>-0.19253438271804657</c:v>
                </c:pt>
                <c:pt idx="91">
                  <c:v>-0.19050549369242153</c:v>
                </c:pt>
                <c:pt idx="92">
                  <c:v>-0.18742594844850621</c:v>
                </c:pt>
                <c:pt idx="93">
                  <c:v>-0.18295435808544458</c:v>
                </c:pt>
                <c:pt idx="94">
                  <c:v>-0.1767931471150736</c:v>
                </c:pt>
                <c:pt idx="95">
                  <c:v>-0.16860645899544013</c:v>
                </c:pt>
                <c:pt idx="96">
                  <c:v>-0.15822466265084723</c:v>
                </c:pt>
                <c:pt idx="97">
                  <c:v>-0.14577666704267703</c:v>
                </c:pt>
                <c:pt idx="98">
                  <c:v>-0.13108075473856937</c:v>
                </c:pt>
                <c:pt idx="99">
                  <c:v>-0.11422298736029851</c:v>
                </c:pt>
                <c:pt idx="100">
                  <c:v>-9.5328641277367551E-2</c:v>
                </c:pt>
                <c:pt idx="101">
                  <c:v>-7.447069062845546E-2</c:v>
                </c:pt>
                <c:pt idx="102">
                  <c:v>-5.1809443882570923E-2</c:v>
                </c:pt>
                <c:pt idx="103">
                  <c:v>-2.7523925299531345E-2</c:v>
                </c:pt>
                <c:pt idx="104">
                  <c:v>-2.0245729402010321E-3</c:v>
                </c:pt>
                <c:pt idx="105">
                  <c:v>2.4254582786079074E-2</c:v>
                </c:pt>
                <c:pt idx="106">
                  <c:v>5.104506209164604E-2</c:v>
                </c:pt>
                <c:pt idx="107">
                  <c:v>7.8108154018766168E-2</c:v>
                </c:pt>
                <c:pt idx="108">
                  <c:v>0.10545238659931884</c:v>
                </c:pt>
              </c:numCache>
            </c:numRef>
          </c:xVal>
          <c:yVal>
            <c:numRef>
              <c:f>DATA!$I$2:$I$110</c:f>
              <c:numCache>
                <c:formatCode>General</c:formatCode>
                <c:ptCount val="109"/>
                <c:pt idx="0">
                  <c:v>6.0457640501423597</c:v>
                </c:pt>
                <c:pt idx="1">
                  <c:v>6.0475239923309587</c:v>
                </c:pt>
                <c:pt idx="2">
                  <c:v>6.049282325054028</c:v>
                </c:pt>
                <c:pt idx="3">
                  <c:v>6.0510332613307067</c:v>
                </c:pt>
                <c:pt idx="4">
                  <c:v>6.052768824438183</c:v>
                </c:pt>
                <c:pt idx="5">
                  <c:v>6.054476706166561</c:v>
                </c:pt>
                <c:pt idx="6">
                  <c:v>6.0561421142569101</c:v>
                </c:pt>
                <c:pt idx="7">
                  <c:v>6.0577492914091398</c:v>
                </c:pt>
                <c:pt idx="8">
                  <c:v>6.059283624844821</c:v>
                </c:pt>
                <c:pt idx="9">
                  <c:v>6.0607313292920448</c:v>
                </c:pt>
                <c:pt idx="10">
                  <c:v>6.0620806932141296</c:v>
                </c:pt>
                <c:pt idx="11">
                  <c:v>6.0633246048190603</c:v>
                </c:pt>
                <c:pt idx="12">
                  <c:v>6.0644600461764426</c:v>
                </c:pt>
                <c:pt idx="13">
                  <c:v>6.0654903384939809</c:v>
                </c:pt>
                <c:pt idx="14">
                  <c:v>6.0664250646137257</c:v>
                </c:pt>
                <c:pt idx="15">
                  <c:v>6.0672774535005534</c:v>
                </c:pt>
                <c:pt idx="16">
                  <c:v>6.0680643100259024</c:v>
                </c:pt>
                <c:pt idx="17">
                  <c:v>6.0688055913491015</c:v>
                </c:pt>
                <c:pt idx="18">
                  <c:v>6.069520539611716</c:v>
                </c:pt>
                <c:pt idx="19">
                  <c:v>6.0702260821329785</c:v>
                </c:pt>
                <c:pt idx="20">
                  <c:v>6.070936854756714</c:v>
                </c:pt>
                <c:pt idx="21">
                  <c:v>6.0716669323404906</c:v>
                </c:pt>
                <c:pt idx="22">
                  <c:v>6.0724255988283939</c:v>
                </c:pt>
                <c:pt idx="23">
                  <c:v>6.0732179587073079</c:v>
                </c:pt>
                <c:pt idx="24">
                  <c:v>6.0740458939451578</c:v>
                </c:pt>
                <c:pt idx="25">
                  <c:v>6.0749076544369887</c:v>
                </c:pt>
                <c:pt idx="26">
                  <c:v>6.075801987149295</c:v>
                </c:pt>
                <c:pt idx="27">
                  <c:v>6.0767288123023189</c:v>
                </c:pt>
                <c:pt idx="28">
                  <c:v>6.0776887411486493</c:v>
                </c:pt>
                <c:pt idx="29">
                  <c:v>6.0786851039676657</c:v>
                </c:pt>
                <c:pt idx="30">
                  <c:v>6.0797253667230526</c:v>
                </c:pt>
                <c:pt idx="31">
                  <c:v>6.0808184551514985</c:v>
                </c:pt>
                <c:pt idx="32">
                  <c:v>6.0819711627973367</c:v>
                </c:pt>
                <c:pt idx="33">
                  <c:v>6.0831864996824905</c:v>
                </c:pt>
                <c:pt idx="34">
                  <c:v>6.0844634538683735</c:v>
                </c:pt>
                <c:pt idx="35">
                  <c:v>6.0857983898036432</c:v>
                </c:pt>
                <c:pt idx="36">
                  <c:v>6.0871851493956948</c:v>
                </c:pt>
                <c:pt idx="37">
                  <c:v>6.0886149487764794</c:v>
                </c:pt>
                <c:pt idx="38">
                  <c:v>6.0900756795606661</c:v>
                </c:pt>
                <c:pt idx="39">
                  <c:v>6.0915528494125564</c:v>
                </c:pt>
                <c:pt idx="40">
                  <c:v>6.0930295128481378</c:v>
                </c:pt>
                <c:pt idx="41">
                  <c:v>6.0944882796541089</c:v>
                </c:pt>
                <c:pt idx="42">
                  <c:v>6.0959124345817024</c:v>
                </c:pt>
                <c:pt idx="43">
                  <c:v>6.0972849780591494</c:v>
                </c:pt>
                <c:pt idx="44">
                  <c:v>6.0985894223000274</c:v>
                </c:pt>
                <c:pt idx="45">
                  <c:v>6.0998084252066098</c:v>
                </c:pt>
                <c:pt idx="46">
                  <c:v>6.1009243417944932</c:v>
                </c:pt>
                <c:pt idx="47">
                  <c:v>6.1019205577869426</c:v>
                </c:pt>
                <c:pt idx="48">
                  <c:v>6.1027835376895725</c:v>
                </c:pt>
                <c:pt idx="49">
                  <c:v>6.1035027060115112</c:v>
                </c:pt>
                <c:pt idx="50">
                  <c:v>6.1040703117127695</c:v>
                </c:pt>
                <c:pt idx="51">
                  <c:v>6.1044813815650869</c:v>
                </c:pt>
                <c:pt idx="52">
                  <c:v>6.1047328284968367</c:v>
                </c:pt>
                <c:pt idx="53">
                  <c:v>6.1048268802736354</c:v>
                </c:pt>
                <c:pt idx="54">
                  <c:v>6.1047726703888276</c:v>
                </c:pt>
                <c:pt idx="55">
                  <c:v>6.104586271127479</c:v>
                </c:pt>
                <c:pt idx="56">
                  <c:v>6.1042892562489897</c:v>
                </c:pt>
                <c:pt idx="57">
                  <c:v>6.1039100404408284</c:v>
                </c:pt>
                <c:pt idx="58">
                  <c:v>6.1034850512843439</c:v>
                </c:pt>
                <c:pt idx="59">
                  <c:v>6.1030573174307081</c:v>
                </c:pt>
                <c:pt idx="60">
                  <c:v>6.1026733481973343</c:v>
                </c:pt>
                <c:pt idx="61">
                  <c:v>6.1023766453198531</c:v>
                </c:pt>
                <c:pt idx="62">
                  <c:v>6.1021944931859888</c:v>
                </c:pt>
                <c:pt idx="63">
                  <c:v>6.1021434581583813</c:v>
                </c:pt>
                <c:pt idx="64">
                  <c:v>6.1022293848956206</c:v>
                </c:pt>
                <c:pt idx="65">
                  <c:v>6.1024507767261253</c:v>
                </c:pt>
                <c:pt idx="66">
                  <c:v>6.1028015238411681</c:v>
                </c:pt>
                <c:pt idx="67">
                  <c:v>6.1032740672958923</c:v>
                </c:pt>
                <c:pt idx="68">
                  <c:v>6.1038640207120771</c:v>
                </c:pt>
                <c:pt idx="69">
                  <c:v>6.1045676887339217</c:v>
                </c:pt>
                <c:pt idx="70">
                  <c:v>6.1053787580003727</c:v>
                </c:pt>
                <c:pt idx="71">
                  <c:v>6.1062855517055095</c:v>
                </c:pt>
                <c:pt idx="72">
                  <c:v>6.1072770022483756</c:v>
                </c:pt>
                <c:pt idx="73">
                  <c:v>6.1083417749404951</c:v>
                </c:pt>
                <c:pt idx="74">
                  <c:v>6.1094713792496389</c:v>
                </c:pt>
                <c:pt idx="75">
                  <c:v>6.1106569821888881</c:v>
                </c:pt>
                <c:pt idx="76">
                  <c:v>6.111887647089489</c:v>
                </c:pt>
                <c:pt idx="77">
                  <c:v>6.1131494902282402</c:v>
                </c:pt>
                <c:pt idx="78">
                  <c:v>6.114428526227301</c:v>
                </c:pt>
                <c:pt idx="79">
                  <c:v>6.1157123532092514</c:v>
                </c:pt>
                <c:pt idx="80">
                  <c:v>6.1169919520038238</c:v>
                </c:pt>
                <c:pt idx="81">
                  <c:v>6.1182606259970296</c:v>
                </c:pt>
                <c:pt idx="82">
                  <c:v>6.1195152575889749</c:v>
                </c:pt>
                <c:pt idx="83">
                  <c:v>6.1207506436653549</c:v>
                </c:pt>
                <c:pt idx="84">
                  <c:v>6.1219589699361361</c:v>
                </c:pt>
                <c:pt idx="85">
                  <c:v>6.1231303300508948</c:v>
                </c:pt>
                <c:pt idx="86">
                  <c:v>6.1242560157076955</c:v>
                </c:pt>
                <c:pt idx="87">
                  <c:v>6.1253282323611407</c:v>
                </c:pt>
                <c:pt idx="88">
                  <c:v>6.1263397067257372</c:v>
                </c:pt>
                <c:pt idx="89">
                  <c:v>6.1272825495822705</c:v>
                </c:pt>
                <c:pt idx="90">
                  <c:v>6.1281496155561079</c:v>
                </c:pt>
                <c:pt idx="91">
                  <c:v>6.1289334752828868</c:v>
                </c:pt>
                <c:pt idx="92">
                  <c:v>6.1296264759459085</c:v>
                </c:pt>
                <c:pt idx="93">
                  <c:v>6.1302206160731165</c:v>
                </c:pt>
                <c:pt idx="94">
                  <c:v>6.1307091909445157</c:v>
                </c:pt>
                <c:pt idx="95">
                  <c:v>6.1310874896908629</c:v>
                </c:pt>
                <c:pt idx="96">
                  <c:v>6.131354852031782</c:v>
                </c:pt>
                <c:pt idx="97">
                  <c:v>6.1315145993063194</c:v>
                </c:pt>
                <c:pt idx="98">
                  <c:v>6.1315740607877585</c:v>
                </c:pt>
                <c:pt idx="99">
                  <c:v>6.1315455161640813</c:v>
                </c:pt>
                <c:pt idx="100">
                  <c:v>6.1314447996547106</c:v>
                </c:pt>
                <c:pt idx="101">
                  <c:v>6.131290679171614</c:v>
                </c:pt>
                <c:pt idx="102">
                  <c:v>6.131105560610961</c:v>
                </c:pt>
                <c:pt idx="103">
                  <c:v>6.1309167844820056</c:v>
                </c:pt>
                <c:pt idx="104">
                  <c:v>6.1307572468497638</c:v>
                </c:pt>
                <c:pt idx="105">
                  <c:v>6.1306575366502303</c:v>
                </c:pt>
                <c:pt idx="106">
                  <c:v>6.1306475028717546</c:v>
                </c:pt>
                <c:pt idx="107">
                  <c:v>6.1307348402241271</c:v>
                </c:pt>
                <c:pt idx="108">
                  <c:v>6.1309193743150097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8BA-4D41-A667-163431B48956}"/>
            </c:ext>
          </c:extLst>
        </c:ser>
        <c:ser>
          <c:idx val="1"/>
          <c:order val="1"/>
          <c:tx>
            <c:v>Predicted HP(logGDP)</c:v>
          </c:tx>
          <c:spPr>
            <a:ln w="19050">
              <a:noFill/>
            </a:ln>
          </c:spPr>
          <c:trendline>
            <c:spPr>
              <a:ln w="12700">
                <a:solidFill>
                  <a:schemeClr val="tx1"/>
                </a:solidFill>
              </a:ln>
            </c:spPr>
            <c:trendlineType val="linear"/>
            <c:dispRSqr val="0"/>
            <c:dispEq val="1"/>
            <c:trendlineLbl>
              <c:layout>
                <c:manualLayout>
                  <c:x val="0.22517952002411182"/>
                  <c:y val="-0.42388682183957777"/>
                </c:manualLayout>
              </c:layout>
              <c:numFmt formatCode="General" sourceLinked="0"/>
            </c:trendlineLbl>
          </c:trendline>
          <c:xVal>
            <c:numRef>
              <c:f>DATA!$Q$2:$Q$110</c:f>
              <c:numCache>
                <c:formatCode>General</c:formatCode>
                <c:ptCount val="109"/>
                <c:pt idx="0">
                  <c:v>1.8187199995768473</c:v>
                </c:pt>
                <c:pt idx="1">
                  <c:v>1.6859878004772451</c:v>
                </c:pt>
                <c:pt idx="2">
                  <c:v>1.5535949519079009</c:v>
                </c:pt>
                <c:pt idx="3">
                  <c:v>1.4221087445011127</c:v>
                </c:pt>
                <c:pt idx="4">
                  <c:v>1.2922317534256942</c:v>
                </c:pt>
                <c:pt idx="5">
                  <c:v>1.1653097528583405</c:v>
                </c:pt>
                <c:pt idx="6">
                  <c:v>1.0430210054502831</c:v>
                </c:pt>
                <c:pt idx="7">
                  <c:v>0.92690920525721687</c:v>
                </c:pt>
                <c:pt idx="8">
                  <c:v>0.81818074358858706</c:v>
                </c:pt>
                <c:pt idx="9">
                  <c:v>0.71773585682596164</c:v>
                </c:pt>
                <c:pt idx="10">
                  <c:v>0.62629075942503132</c:v>
                </c:pt>
                <c:pt idx="11">
                  <c:v>0.54428647919660844</c:v>
                </c:pt>
                <c:pt idx="12">
                  <c:v>0.47205155034038282</c:v>
                </c:pt>
                <c:pt idx="13">
                  <c:v>0.40968487314378493</c:v>
                </c:pt>
                <c:pt idx="14">
                  <c:v>0.35637937622508153</c:v>
                </c:pt>
                <c:pt idx="15">
                  <c:v>0.31117139248423881</c:v>
                </c:pt>
                <c:pt idx="16">
                  <c:v>0.27319512253895573</c:v>
                </c:pt>
                <c:pt idx="17">
                  <c:v>0.24152094106576838</c:v>
                </c:pt>
                <c:pt idx="18">
                  <c:v>0.21540573231032475</c:v>
                </c:pt>
                <c:pt idx="19">
                  <c:v>0.19439710083981471</c:v>
                </c:pt>
                <c:pt idx="20">
                  <c:v>0.1776035049029171</c:v>
                </c:pt>
                <c:pt idx="21">
                  <c:v>0.16442226081856806</c:v>
                </c:pt>
                <c:pt idx="22">
                  <c:v>0.15430265244478281</c:v>
                </c:pt>
                <c:pt idx="23">
                  <c:v>0.14665124619888678</c:v>
                </c:pt>
                <c:pt idx="24">
                  <c:v>0.14097661694826208</c:v>
                </c:pt>
                <c:pt idx="25">
                  <c:v>0.1366883848459354</c:v>
                </c:pt>
                <c:pt idx="26">
                  <c:v>0.13324207544137007</c:v>
                </c:pt>
                <c:pt idx="27">
                  <c:v>0.13012174760348366</c:v>
                </c:pt>
                <c:pt idx="28">
                  <c:v>0.12696573422144541</c:v>
                </c:pt>
                <c:pt idx="29">
                  <c:v>0.12350764679776161</c:v>
                </c:pt>
                <c:pt idx="30">
                  <c:v>0.11969925781180285</c:v>
                </c:pt>
                <c:pt idx="31">
                  <c:v>0.11556456075589561</c:v>
                </c:pt>
                <c:pt idx="32">
                  <c:v>0.11128009131247245</c:v>
                </c:pt>
                <c:pt idx="33">
                  <c:v>0.10715651488104312</c:v>
                </c:pt>
                <c:pt idx="34">
                  <c:v>0.10341492804412616</c:v>
                </c:pt>
                <c:pt idx="35">
                  <c:v>0.10029323955036978</c:v>
                </c:pt>
                <c:pt idx="36">
                  <c:v>9.8027960112503518E-2</c:v>
                </c:pt>
                <c:pt idx="37">
                  <c:v>9.6835530253867541E-2</c:v>
                </c:pt>
                <c:pt idx="38">
                  <c:v>9.6830357544796145E-2</c:v>
                </c:pt>
                <c:pt idx="39">
                  <c:v>9.8150303519874235E-2</c:v>
                </c:pt>
                <c:pt idx="40">
                  <c:v>0.10099758946076196</c:v>
                </c:pt>
                <c:pt idx="41">
                  <c:v>0.1054093384644835</c:v>
                </c:pt>
                <c:pt idx="42">
                  <c:v>0.11144241340027457</c:v>
                </c:pt>
                <c:pt idx="43">
                  <c:v>0.11908779630083058</c:v>
                </c:pt>
                <c:pt idx="44">
                  <c:v>0.12797703623635173</c:v>
                </c:pt>
                <c:pt idx="45">
                  <c:v>0.13799840181543258</c:v>
                </c:pt>
                <c:pt idx="46">
                  <c:v>0.14914687254681003</c:v>
                </c:pt>
                <c:pt idx="47">
                  <c:v>0.16153917605422841</c:v>
                </c:pt>
                <c:pt idx="48">
                  <c:v>0.17509541693720196</c:v>
                </c:pt>
                <c:pt idx="49">
                  <c:v>0.18942765255809768</c:v>
                </c:pt>
                <c:pt idx="50">
                  <c:v>0.20406045979983947</c:v>
                </c:pt>
                <c:pt idx="51">
                  <c:v>0.21841405419446749</c:v>
                </c:pt>
                <c:pt idx="52">
                  <c:v>0.23200191428901892</c:v>
                </c:pt>
                <c:pt idx="53">
                  <c:v>0.24440928671908277</c:v>
                </c:pt>
                <c:pt idx="54">
                  <c:v>0.25539579192381745</c:v>
                </c:pt>
                <c:pt idx="55">
                  <c:v>0.26485945810202544</c:v>
                </c:pt>
                <c:pt idx="56">
                  <c:v>0.27250288600338829</c:v>
                </c:pt>
                <c:pt idx="57">
                  <c:v>0.27797095195034588</c:v>
                </c:pt>
                <c:pt idx="58">
                  <c:v>0.28078764407377993</c:v>
                </c:pt>
                <c:pt idx="59">
                  <c:v>0.28008619536550977</c:v>
                </c:pt>
                <c:pt idx="60">
                  <c:v>0.27547324233653392</c:v>
                </c:pt>
                <c:pt idx="61">
                  <c:v>0.26702596042457877</c:v>
                </c:pt>
                <c:pt idx="62">
                  <c:v>0.2549817113975541</c:v>
                </c:pt>
                <c:pt idx="63">
                  <c:v>0.23966060287498189</c:v>
                </c:pt>
                <c:pt idx="64">
                  <c:v>0.22153821769368454</c:v>
                </c:pt>
                <c:pt idx="65">
                  <c:v>0.20087671818064537</c:v>
                </c:pt>
                <c:pt idx="66">
                  <c:v>0.17796750065706851</c:v>
                </c:pt>
                <c:pt idx="67">
                  <c:v>0.15325469558036964</c:v>
                </c:pt>
                <c:pt idx="68">
                  <c:v>0.12701792900940165</c:v>
                </c:pt>
                <c:pt idx="69">
                  <c:v>9.962611622404903E-2</c:v>
                </c:pt>
                <c:pt idx="70">
                  <c:v>7.140753629856543E-2</c:v>
                </c:pt>
                <c:pt idx="71">
                  <c:v>4.2607716450712874E-2</c:v>
                </c:pt>
                <c:pt idx="72">
                  <c:v>1.3610267030925669E-2</c:v>
                </c:pt>
                <c:pt idx="73">
                  <c:v>-1.5464628959914024E-2</c:v>
                </c:pt>
                <c:pt idx="74">
                  <c:v>-4.4326656977229734E-2</c:v>
                </c:pt>
                <c:pt idx="75">
                  <c:v>-7.2337246451907991E-2</c:v>
                </c:pt>
                <c:pt idx="76">
                  <c:v>-9.8776997654224555E-2</c:v>
                </c:pt>
                <c:pt idx="77">
                  <c:v>-0.12289575259406531</c:v>
                </c:pt>
                <c:pt idx="78">
                  <c:v>-0.14390286835432231</c:v>
                </c:pt>
                <c:pt idx="79">
                  <c:v>-0.16130443878893216</c:v>
                </c:pt>
                <c:pt idx="80">
                  <c:v>-0.17477966423247376</c:v>
                </c:pt>
                <c:pt idx="81">
                  <c:v>-0.18399214821744855</c:v>
                </c:pt>
                <c:pt idx="82">
                  <c:v>-0.18982662790840832</c:v>
                </c:pt>
                <c:pt idx="83">
                  <c:v>-0.19326715532775565</c:v>
                </c:pt>
                <c:pt idx="84">
                  <c:v>-0.19497258220167152</c:v>
                </c:pt>
                <c:pt idx="85">
                  <c:v>-0.19545598491634236</c:v>
                </c:pt>
                <c:pt idx="86">
                  <c:v>-0.19530428531936408</c:v>
                </c:pt>
                <c:pt idx="87">
                  <c:v>-0.19493599526775984</c:v>
                </c:pt>
                <c:pt idx="88">
                  <c:v>-0.1944518190563484</c:v>
                </c:pt>
                <c:pt idx="89">
                  <c:v>-0.19372069069594017</c:v>
                </c:pt>
                <c:pt idx="90">
                  <c:v>-0.19253438271804657</c:v>
                </c:pt>
                <c:pt idx="91">
                  <c:v>-0.19050549369242153</c:v>
                </c:pt>
                <c:pt idx="92">
                  <c:v>-0.18742594844850621</c:v>
                </c:pt>
                <c:pt idx="93">
                  <c:v>-0.18295435808544458</c:v>
                </c:pt>
                <c:pt idx="94">
                  <c:v>-0.1767931471150736</c:v>
                </c:pt>
                <c:pt idx="95">
                  <c:v>-0.16860645899544013</c:v>
                </c:pt>
                <c:pt idx="96">
                  <c:v>-0.15822466265084723</c:v>
                </c:pt>
                <c:pt idx="97">
                  <c:v>-0.14577666704267703</c:v>
                </c:pt>
                <c:pt idx="98">
                  <c:v>-0.13108075473856937</c:v>
                </c:pt>
                <c:pt idx="99">
                  <c:v>-0.11422298736029851</c:v>
                </c:pt>
                <c:pt idx="100">
                  <c:v>-9.5328641277367551E-2</c:v>
                </c:pt>
                <c:pt idx="101">
                  <c:v>-7.447069062845546E-2</c:v>
                </c:pt>
                <c:pt idx="102">
                  <c:v>-5.1809443882570923E-2</c:v>
                </c:pt>
                <c:pt idx="103">
                  <c:v>-2.7523925299531345E-2</c:v>
                </c:pt>
                <c:pt idx="104">
                  <c:v>-2.0245729402010321E-3</c:v>
                </c:pt>
                <c:pt idx="105">
                  <c:v>2.4254582786079074E-2</c:v>
                </c:pt>
                <c:pt idx="106">
                  <c:v>5.104506209164604E-2</c:v>
                </c:pt>
                <c:pt idx="107">
                  <c:v>7.8108154018766168E-2</c:v>
                </c:pt>
                <c:pt idx="108">
                  <c:v>0.10545238659931884</c:v>
                </c:pt>
              </c:numCache>
            </c:numRef>
          </c:xVal>
          <c:yVal>
            <c:numRef>
              <c:f>'IS Curve ANOVA Table'!$B$25:$B$133</c:f>
              <c:numCache>
                <c:formatCode>General</c:formatCode>
                <c:ptCount val="109"/>
                <c:pt idx="0">
                  <c:v>6.0187126553683292</c:v>
                </c:pt>
                <c:pt idx="1">
                  <c:v>6.0251533485174047</c:v>
                </c:pt>
                <c:pt idx="2">
                  <c:v>6.0315775750317808</c:v>
                </c:pt>
                <c:pt idx="3">
                  <c:v>6.0379578077182545</c:v>
                </c:pt>
                <c:pt idx="4">
                  <c:v>6.0442599548409301</c:v>
                </c:pt>
                <c:pt idx="5">
                  <c:v>6.0504187140950245</c:v>
                </c:pt>
                <c:pt idx="6">
                  <c:v>6.0563526495152393</c:v>
                </c:pt>
                <c:pt idx="7">
                  <c:v>6.0619868549386657</c:v>
                </c:pt>
                <c:pt idx="8">
                  <c:v>6.0672627914704869</c:v>
                </c:pt>
                <c:pt idx="9">
                  <c:v>6.0721367760681977</c:v>
                </c:pt>
                <c:pt idx="10">
                  <c:v>6.0765740551635643</c:v>
                </c:pt>
                <c:pt idx="11">
                  <c:v>6.0805532283366519</c:v>
                </c:pt>
                <c:pt idx="12">
                  <c:v>6.0840583538040534</c:v>
                </c:pt>
                <c:pt idx="13">
                  <c:v>6.0870846325312611</c:v>
                </c:pt>
                <c:pt idx="14">
                  <c:v>6.0896712268251951</c:v>
                </c:pt>
                <c:pt idx="15">
                  <c:v>6.0918648976385947</c:v>
                </c:pt>
                <c:pt idx="16">
                  <c:v>6.0937076569940736</c:v>
                </c:pt>
                <c:pt idx="17">
                  <c:v>6.0952446140022509</c:v>
                </c:pt>
                <c:pt idx="18">
                  <c:v>6.0965118275891488</c:v>
                </c:pt>
                <c:pt idx="19">
                  <c:v>6.0975312497768428</c:v>
                </c:pt>
                <c:pt idx="20">
                  <c:v>6.098346141709869</c:v>
                </c:pt>
                <c:pt idx="21">
                  <c:v>6.0989857479926419</c:v>
                </c:pt>
                <c:pt idx="22">
                  <c:v>6.0994767915583061</c:v>
                </c:pt>
                <c:pt idx="23">
                  <c:v>6.0998480681597869</c:v>
                </c:pt>
                <c:pt idx="24">
                  <c:v>6.1001234236951127</c:v>
                </c:pt>
                <c:pt idx="25">
                  <c:v>6.1003315057378309</c:v>
                </c:pt>
                <c:pt idx="26">
                  <c:v>6.1004987343494426</c:v>
                </c:pt>
                <c:pt idx="27">
                  <c:v>6.1006501450415325</c:v>
                </c:pt>
                <c:pt idx="28">
                  <c:v>6.1008032873378708</c:v>
                </c:pt>
                <c:pt idx="29">
                  <c:v>6.1009710874657195</c:v>
                </c:pt>
                <c:pt idx="30">
                  <c:v>6.1011558856158086</c:v>
                </c:pt>
                <c:pt idx="31">
                  <c:v>6.1013565175286537</c:v>
                </c:pt>
                <c:pt idx="32">
                  <c:v>6.1015644169922272</c:v>
                </c:pt>
                <c:pt idx="33">
                  <c:v>6.1017645092882322</c:v>
                </c:pt>
                <c:pt idx="34">
                  <c:v>6.1019460659328946</c:v>
                </c:pt>
                <c:pt idx="35">
                  <c:v>6.1020975426494086</c:v>
                </c:pt>
                <c:pt idx="36">
                  <c:v>6.1022074629992193</c:v>
                </c:pt>
                <c:pt idx="37">
                  <c:v>6.1022653244290259</c:v>
                </c:pt>
                <c:pt idx="38">
                  <c:v>6.102265575429402</c:v>
                </c:pt>
                <c:pt idx="39">
                  <c:v>6.1022015264114806</c:v>
                </c:pt>
                <c:pt idx="40">
                  <c:v>6.102063364796007</c:v>
                </c:pt>
                <c:pt idx="41">
                  <c:v>6.1018492892229625</c:v>
                </c:pt>
                <c:pt idx="42">
                  <c:v>6.1015565404802281</c:v>
                </c:pt>
                <c:pt idx="43">
                  <c:v>6.1011855561553716</c:v>
                </c:pt>
                <c:pt idx="44">
                  <c:v>6.1007542149499852</c:v>
                </c:pt>
                <c:pt idx="45">
                  <c:v>6.100267938514671</c:v>
                </c:pt>
                <c:pt idx="46">
                  <c:v>6.0997269704635926</c:v>
                </c:pt>
                <c:pt idx="47">
                  <c:v>6.0991256467091244</c:v>
                </c:pt>
                <c:pt idx="48">
                  <c:v>6.0984678440932214</c:v>
                </c:pt>
                <c:pt idx="49">
                  <c:v>6.09777238713251</c:v>
                </c:pt>
                <c:pt idx="50">
                  <c:v>6.0970623452437067</c:v>
                </c:pt>
                <c:pt idx="51">
                  <c:v>6.0963658518705151</c:v>
                </c:pt>
                <c:pt idx="52">
                  <c:v>6.0957065149649621</c:v>
                </c:pt>
                <c:pt idx="53">
                  <c:v>6.0951044600065538</c:v>
                </c:pt>
                <c:pt idx="54">
                  <c:v>6.0945713511657118</c:v>
                </c:pt>
                <c:pt idx="55">
                  <c:v>6.0941121365189828</c:v>
                </c:pt>
                <c:pt idx="56">
                  <c:v>6.0937412470584471</c:v>
                </c:pt>
                <c:pt idx="57">
                  <c:v>6.093475914794519</c:v>
                </c:pt>
                <c:pt idx="58">
                  <c:v>6.0933392377125033</c:v>
                </c:pt>
                <c:pt idx="59">
                  <c:v>6.0933732747880613</c:v>
                </c:pt>
                <c:pt idx="60">
                  <c:v>6.093597113579043</c:v>
                </c:pt>
                <c:pt idx="61">
                  <c:v>6.0940070092268783</c:v>
                </c:pt>
                <c:pt idx="62">
                  <c:v>6.0945914439964399</c:v>
                </c:pt>
                <c:pt idx="63">
                  <c:v>6.0953348849954363</c:v>
                </c:pt>
                <c:pt idx="64">
                  <c:v>6.0962142550569123</c:v>
                </c:pt>
                <c:pt idx="65">
                  <c:v>6.0972168330241718</c:v>
                </c:pt>
                <c:pt idx="66">
                  <c:v>6.0983284791910837</c:v>
                </c:pt>
                <c:pt idx="67">
                  <c:v>6.0995276425849827</c:v>
                </c:pt>
                <c:pt idx="68">
                  <c:v>6.1008007546395842</c:v>
                </c:pt>
                <c:pt idx="69">
                  <c:v>6.1021299141211882</c:v>
                </c:pt>
                <c:pt idx="70">
                  <c:v>6.1034991916260859</c:v>
                </c:pt>
                <c:pt idx="71">
                  <c:v>6.1048966731991099</c:v>
                </c:pt>
                <c:pt idx="72">
                  <c:v>6.1063037445434079</c:v>
                </c:pt>
                <c:pt idx="73">
                  <c:v>6.1077145739027383</c:v>
                </c:pt>
                <c:pt idx="74">
                  <c:v>6.109115074063066</c:v>
                </c:pt>
                <c:pt idx="75">
                  <c:v>6.1104742590457217</c:v>
                </c:pt>
                <c:pt idx="76">
                  <c:v>6.1117572207203361</c:v>
                </c:pt>
                <c:pt idx="77">
                  <c:v>6.112927558443654</c:v>
                </c:pt>
                <c:pt idx="78">
                  <c:v>6.1139469070830703</c:v>
                </c:pt>
                <c:pt idx="79">
                  <c:v>6.1147913003519356</c:v>
                </c:pt>
                <c:pt idx="80">
                  <c:v>6.1154451717771448</c:v>
                </c:pt>
                <c:pt idx="81">
                  <c:v>6.1158921980668506</c:v>
                </c:pt>
                <c:pt idx="82">
                  <c:v>6.1161753101800294</c:v>
                </c:pt>
                <c:pt idx="83">
                  <c:v>6.1163422582267684</c:v>
                </c:pt>
                <c:pt idx="84">
                  <c:v>6.1164250123079755</c:v>
                </c:pt>
                <c:pt idx="85">
                  <c:v>6.1164484689264427</c:v>
                </c:pt>
                <c:pt idx="86">
                  <c:v>6.1164411078598624</c:v>
                </c:pt>
                <c:pt idx="87">
                  <c:v>6.1164232369647191</c:v>
                </c:pt>
                <c:pt idx="88">
                  <c:v>6.1163997428131189</c:v>
                </c:pt>
                <c:pt idx="89">
                  <c:v>6.1163642655630328</c:v>
                </c:pt>
                <c:pt idx="90">
                  <c:v>6.1163067011911796</c:v>
                </c:pt>
                <c:pt idx="91">
                  <c:v>6.1162082514424654</c:v>
                </c:pt>
                <c:pt idx="92">
                  <c:v>6.1160588196837118</c:v>
                </c:pt>
                <c:pt idx="93">
                  <c:v>6.1158418403703863</c:v>
                </c:pt>
                <c:pt idx="94">
                  <c:v>6.1155428739586482</c:v>
                </c:pt>
                <c:pt idx="95">
                  <c:v>6.1151456233559802</c:v>
                </c:pt>
                <c:pt idx="96">
                  <c:v>6.1146418573892793</c:v>
                </c:pt>
                <c:pt idx="97">
                  <c:v>6.1140378312330252</c:v>
                </c:pt>
                <c:pt idx="98">
                  <c:v>6.1133247272361162</c:v>
                </c:pt>
                <c:pt idx="99">
                  <c:v>6.1125067214500417</c:v>
                </c:pt>
                <c:pt idx="100">
                  <c:v>6.1115898927815033</c:v>
                </c:pt>
                <c:pt idx="101">
                  <c:v>6.1105777822253646</c:v>
                </c:pt>
                <c:pt idx="102">
                  <c:v>6.1094781685848485</c:v>
                </c:pt>
                <c:pt idx="103">
                  <c:v>6.1082997388276334</c:v>
                </c:pt>
                <c:pt idx="104">
                  <c:v>6.10706240903757</c:v>
                </c:pt>
                <c:pt idx="105">
                  <c:v>6.1057872400928987</c:v>
                </c:pt>
                <c:pt idx="106">
                  <c:v>6.1044872596985833</c:v>
                </c:pt>
                <c:pt idx="107">
                  <c:v>6.1031740510577999</c:v>
                </c:pt>
                <c:pt idx="108">
                  <c:v>6.1018472003565911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8BA-4D41-A667-163431B48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561728"/>
        <c:axId val="432563456"/>
      </c:scatterChart>
      <c:valAx>
        <c:axId val="432561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HP(real int)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563456"/>
        <c:crosses val="autoZero"/>
        <c:crossBetween val="midCat"/>
      </c:valAx>
      <c:valAx>
        <c:axId val="4325634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HP(logGDP)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325617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'IS Curve ANOVA Table'!$F$25:$F$133</c:f>
              <c:numCache>
                <c:formatCode>General</c:formatCode>
                <c:ptCount val="109"/>
                <c:pt idx="0">
                  <c:v>0.45871559633027525</c:v>
                </c:pt>
                <c:pt idx="1">
                  <c:v>1.3761467889908259</c:v>
                </c:pt>
                <c:pt idx="2">
                  <c:v>2.2935779816513762</c:v>
                </c:pt>
                <c:pt idx="3">
                  <c:v>3.2110091743119269</c:v>
                </c:pt>
                <c:pt idx="4">
                  <c:v>4.1284403669724776</c:v>
                </c:pt>
                <c:pt idx="5">
                  <c:v>5.0458715596330279</c:v>
                </c:pt>
                <c:pt idx="6">
                  <c:v>5.9633027522935791</c:v>
                </c:pt>
                <c:pt idx="7">
                  <c:v>6.8807339449541294</c:v>
                </c:pt>
                <c:pt idx="8">
                  <c:v>7.7981651376146797</c:v>
                </c:pt>
                <c:pt idx="9">
                  <c:v>8.7155963302752308</c:v>
                </c:pt>
                <c:pt idx="10">
                  <c:v>9.6330275229357802</c:v>
                </c:pt>
                <c:pt idx="11">
                  <c:v>10.550458715596331</c:v>
                </c:pt>
                <c:pt idx="12">
                  <c:v>11.467889908256883</c:v>
                </c:pt>
                <c:pt idx="13">
                  <c:v>12.385321100917432</c:v>
                </c:pt>
                <c:pt idx="14">
                  <c:v>13.302752293577983</c:v>
                </c:pt>
                <c:pt idx="15">
                  <c:v>14.220183486238533</c:v>
                </c:pt>
                <c:pt idx="16">
                  <c:v>15.137614678899084</c:v>
                </c:pt>
                <c:pt idx="17">
                  <c:v>16.055045871559635</c:v>
                </c:pt>
                <c:pt idx="18">
                  <c:v>16.972477064220186</c:v>
                </c:pt>
                <c:pt idx="19">
                  <c:v>17.889908256880734</c:v>
                </c:pt>
                <c:pt idx="20">
                  <c:v>18.807339449541285</c:v>
                </c:pt>
                <c:pt idx="21">
                  <c:v>19.724770642201836</c:v>
                </c:pt>
                <c:pt idx="22">
                  <c:v>20.642201834862387</c:v>
                </c:pt>
                <c:pt idx="23">
                  <c:v>21.559633027522938</c:v>
                </c:pt>
                <c:pt idx="24">
                  <c:v>22.47706422018349</c:v>
                </c:pt>
                <c:pt idx="25">
                  <c:v>23.394495412844037</c:v>
                </c:pt>
                <c:pt idx="26">
                  <c:v>24.311926605504588</c:v>
                </c:pt>
                <c:pt idx="27">
                  <c:v>25.22935779816514</c:v>
                </c:pt>
                <c:pt idx="28">
                  <c:v>26.146788990825691</c:v>
                </c:pt>
                <c:pt idx="29">
                  <c:v>27.064220183486242</c:v>
                </c:pt>
                <c:pt idx="30">
                  <c:v>27.98165137614679</c:v>
                </c:pt>
                <c:pt idx="31">
                  <c:v>28.899082568807341</c:v>
                </c:pt>
                <c:pt idx="32">
                  <c:v>29.816513761467892</c:v>
                </c:pt>
                <c:pt idx="33">
                  <c:v>30.733944954128443</c:v>
                </c:pt>
                <c:pt idx="34">
                  <c:v>31.651376146788994</c:v>
                </c:pt>
                <c:pt idx="35">
                  <c:v>32.568807339449542</c:v>
                </c:pt>
                <c:pt idx="36">
                  <c:v>33.486238532110093</c:v>
                </c:pt>
                <c:pt idx="37">
                  <c:v>34.403669724770644</c:v>
                </c:pt>
                <c:pt idx="38">
                  <c:v>35.321100917431188</c:v>
                </c:pt>
                <c:pt idx="39">
                  <c:v>36.238532110091739</c:v>
                </c:pt>
                <c:pt idx="40">
                  <c:v>37.155963302752291</c:v>
                </c:pt>
                <c:pt idx="41">
                  <c:v>38.073394495412842</c:v>
                </c:pt>
                <c:pt idx="42">
                  <c:v>38.990825688073393</c:v>
                </c:pt>
                <c:pt idx="43">
                  <c:v>39.908256880733944</c:v>
                </c:pt>
                <c:pt idx="44">
                  <c:v>40.825688073394495</c:v>
                </c:pt>
                <c:pt idx="45">
                  <c:v>41.743119266055047</c:v>
                </c:pt>
                <c:pt idx="46">
                  <c:v>42.660550458715598</c:v>
                </c:pt>
                <c:pt idx="47">
                  <c:v>43.577981651376149</c:v>
                </c:pt>
                <c:pt idx="48">
                  <c:v>44.4954128440367</c:v>
                </c:pt>
                <c:pt idx="49">
                  <c:v>45.412844036697244</c:v>
                </c:pt>
                <c:pt idx="50">
                  <c:v>46.330275229357795</c:v>
                </c:pt>
                <c:pt idx="51">
                  <c:v>47.247706422018346</c:v>
                </c:pt>
                <c:pt idx="52">
                  <c:v>48.165137614678898</c:v>
                </c:pt>
                <c:pt idx="53">
                  <c:v>49.082568807339449</c:v>
                </c:pt>
                <c:pt idx="54">
                  <c:v>50</c:v>
                </c:pt>
                <c:pt idx="55">
                  <c:v>50.917431192660551</c:v>
                </c:pt>
                <c:pt idx="56">
                  <c:v>51.834862385321102</c:v>
                </c:pt>
                <c:pt idx="57">
                  <c:v>52.752293577981654</c:v>
                </c:pt>
                <c:pt idx="58">
                  <c:v>53.669724770642205</c:v>
                </c:pt>
                <c:pt idx="59">
                  <c:v>54.587155963302749</c:v>
                </c:pt>
                <c:pt idx="60">
                  <c:v>55.5045871559633</c:v>
                </c:pt>
                <c:pt idx="61">
                  <c:v>56.422018348623851</c:v>
                </c:pt>
                <c:pt idx="62">
                  <c:v>57.339449541284402</c:v>
                </c:pt>
                <c:pt idx="63">
                  <c:v>58.256880733944953</c:v>
                </c:pt>
                <c:pt idx="64">
                  <c:v>59.174311926605505</c:v>
                </c:pt>
                <c:pt idx="65">
                  <c:v>60.091743119266056</c:v>
                </c:pt>
                <c:pt idx="66">
                  <c:v>61.009174311926607</c:v>
                </c:pt>
                <c:pt idx="67">
                  <c:v>61.926605504587158</c:v>
                </c:pt>
                <c:pt idx="68">
                  <c:v>62.844036697247709</c:v>
                </c:pt>
                <c:pt idx="69">
                  <c:v>63.761467889908261</c:v>
                </c:pt>
                <c:pt idx="70">
                  <c:v>64.678899082568819</c:v>
                </c:pt>
                <c:pt idx="71">
                  <c:v>65.596330275229363</c:v>
                </c:pt>
                <c:pt idx="72">
                  <c:v>66.513761467889921</c:v>
                </c:pt>
                <c:pt idx="73">
                  <c:v>67.431192660550465</c:v>
                </c:pt>
                <c:pt idx="74">
                  <c:v>68.348623853211024</c:v>
                </c:pt>
                <c:pt idx="75">
                  <c:v>69.266055045871568</c:v>
                </c:pt>
                <c:pt idx="76">
                  <c:v>70.183486238532112</c:v>
                </c:pt>
                <c:pt idx="77">
                  <c:v>71.10091743119267</c:v>
                </c:pt>
                <c:pt idx="78">
                  <c:v>72.018348623853214</c:v>
                </c:pt>
                <c:pt idx="79">
                  <c:v>72.935779816513772</c:v>
                </c:pt>
                <c:pt idx="80">
                  <c:v>73.853211009174316</c:v>
                </c:pt>
                <c:pt idx="81">
                  <c:v>74.770642201834875</c:v>
                </c:pt>
                <c:pt idx="82">
                  <c:v>75.688073394495419</c:v>
                </c:pt>
                <c:pt idx="83">
                  <c:v>76.605504587155977</c:v>
                </c:pt>
                <c:pt idx="84">
                  <c:v>77.522935779816521</c:v>
                </c:pt>
                <c:pt idx="85">
                  <c:v>78.440366972477079</c:v>
                </c:pt>
                <c:pt idx="86">
                  <c:v>79.357798165137623</c:v>
                </c:pt>
                <c:pt idx="87">
                  <c:v>80.275229357798167</c:v>
                </c:pt>
                <c:pt idx="88">
                  <c:v>81.192660550458726</c:v>
                </c:pt>
                <c:pt idx="89">
                  <c:v>82.11009174311927</c:v>
                </c:pt>
                <c:pt idx="90">
                  <c:v>83.027522935779828</c:v>
                </c:pt>
                <c:pt idx="91">
                  <c:v>83.944954128440372</c:v>
                </c:pt>
                <c:pt idx="92">
                  <c:v>84.86238532110093</c:v>
                </c:pt>
                <c:pt idx="93">
                  <c:v>85.779816513761475</c:v>
                </c:pt>
                <c:pt idx="94">
                  <c:v>86.697247706422033</c:v>
                </c:pt>
                <c:pt idx="95">
                  <c:v>87.614678899082577</c:v>
                </c:pt>
                <c:pt idx="96">
                  <c:v>88.532110091743135</c:v>
                </c:pt>
                <c:pt idx="97">
                  <c:v>89.449541284403679</c:v>
                </c:pt>
                <c:pt idx="98">
                  <c:v>90.366972477064223</c:v>
                </c:pt>
                <c:pt idx="99">
                  <c:v>91.284403669724782</c:v>
                </c:pt>
                <c:pt idx="100">
                  <c:v>92.201834862385326</c:v>
                </c:pt>
                <c:pt idx="101">
                  <c:v>93.119266055045884</c:v>
                </c:pt>
                <c:pt idx="102">
                  <c:v>94.036697247706428</c:v>
                </c:pt>
                <c:pt idx="103">
                  <c:v>94.954128440366986</c:v>
                </c:pt>
                <c:pt idx="104">
                  <c:v>95.87155963302753</c:v>
                </c:pt>
                <c:pt idx="105">
                  <c:v>96.788990825688089</c:v>
                </c:pt>
                <c:pt idx="106">
                  <c:v>97.706422018348633</c:v>
                </c:pt>
                <c:pt idx="107">
                  <c:v>98.623853211009177</c:v>
                </c:pt>
                <c:pt idx="108">
                  <c:v>99.541284403669735</c:v>
                </c:pt>
              </c:numCache>
            </c:numRef>
          </c:xVal>
          <c:yVal>
            <c:numRef>
              <c:f>'IS Curve ANOVA Table'!$G$25:$G$133</c:f>
              <c:numCache>
                <c:formatCode>General</c:formatCode>
                <c:ptCount val="109"/>
                <c:pt idx="0">
                  <c:v>6.0457640501423597</c:v>
                </c:pt>
                <c:pt idx="1">
                  <c:v>6.0475239923309587</c:v>
                </c:pt>
                <c:pt idx="2">
                  <c:v>6.049282325054028</c:v>
                </c:pt>
                <c:pt idx="3">
                  <c:v>6.0510332613307067</c:v>
                </c:pt>
                <c:pt idx="4">
                  <c:v>6.052768824438183</c:v>
                </c:pt>
                <c:pt idx="5">
                  <c:v>6.054476706166561</c:v>
                </c:pt>
                <c:pt idx="6">
                  <c:v>6.0561421142569101</c:v>
                </c:pt>
                <c:pt idx="7">
                  <c:v>6.0577492914091398</c:v>
                </c:pt>
                <c:pt idx="8">
                  <c:v>6.059283624844821</c:v>
                </c:pt>
                <c:pt idx="9">
                  <c:v>6.0607313292920448</c:v>
                </c:pt>
                <c:pt idx="10">
                  <c:v>6.0620806932141296</c:v>
                </c:pt>
                <c:pt idx="11">
                  <c:v>6.0633246048190603</c:v>
                </c:pt>
                <c:pt idx="12">
                  <c:v>6.0644600461764426</c:v>
                </c:pt>
                <c:pt idx="13">
                  <c:v>6.0654903384939809</c:v>
                </c:pt>
                <c:pt idx="14">
                  <c:v>6.0664250646137257</c:v>
                </c:pt>
                <c:pt idx="15">
                  <c:v>6.0672774535005534</c:v>
                </c:pt>
                <c:pt idx="16">
                  <c:v>6.0680643100259024</c:v>
                </c:pt>
                <c:pt idx="17">
                  <c:v>6.0688055913491015</c:v>
                </c:pt>
                <c:pt idx="18">
                  <c:v>6.069520539611716</c:v>
                </c:pt>
                <c:pt idx="19">
                  <c:v>6.0702260821329785</c:v>
                </c:pt>
                <c:pt idx="20">
                  <c:v>6.070936854756714</c:v>
                </c:pt>
                <c:pt idx="21">
                  <c:v>6.0716669323404906</c:v>
                </c:pt>
                <c:pt idx="22">
                  <c:v>6.0724255988283939</c:v>
                </c:pt>
                <c:pt idx="23">
                  <c:v>6.0732179587073079</c:v>
                </c:pt>
                <c:pt idx="24">
                  <c:v>6.0740458939451578</c:v>
                </c:pt>
                <c:pt idx="25">
                  <c:v>6.0749076544369887</c:v>
                </c:pt>
                <c:pt idx="26">
                  <c:v>6.075801987149295</c:v>
                </c:pt>
                <c:pt idx="27">
                  <c:v>6.0767288123023189</c:v>
                </c:pt>
                <c:pt idx="28">
                  <c:v>6.0776887411486493</c:v>
                </c:pt>
                <c:pt idx="29">
                  <c:v>6.0786851039676657</c:v>
                </c:pt>
                <c:pt idx="30">
                  <c:v>6.0797253667230526</c:v>
                </c:pt>
                <c:pt idx="31">
                  <c:v>6.0808184551514985</c:v>
                </c:pt>
                <c:pt idx="32">
                  <c:v>6.0819711627973367</c:v>
                </c:pt>
                <c:pt idx="33">
                  <c:v>6.0831864996824905</c:v>
                </c:pt>
                <c:pt idx="34">
                  <c:v>6.0844634538683735</c:v>
                </c:pt>
                <c:pt idx="35">
                  <c:v>6.0857983898036432</c:v>
                </c:pt>
                <c:pt idx="36">
                  <c:v>6.0871851493956948</c:v>
                </c:pt>
                <c:pt idx="37">
                  <c:v>6.0886149487764794</c:v>
                </c:pt>
                <c:pt idx="38">
                  <c:v>6.0900756795606661</c:v>
                </c:pt>
                <c:pt idx="39">
                  <c:v>6.0915528494125564</c:v>
                </c:pt>
                <c:pt idx="40">
                  <c:v>6.0930295128481378</c:v>
                </c:pt>
                <c:pt idx="41">
                  <c:v>6.0944882796541089</c:v>
                </c:pt>
                <c:pt idx="42">
                  <c:v>6.0959124345817024</c:v>
                </c:pt>
                <c:pt idx="43">
                  <c:v>6.0972849780591494</c:v>
                </c:pt>
                <c:pt idx="44">
                  <c:v>6.0985894223000274</c:v>
                </c:pt>
                <c:pt idx="45">
                  <c:v>6.0998084252066098</c:v>
                </c:pt>
                <c:pt idx="46">
                  <c:v>6.1009243417944932</c:v>
                </c:pt>
                <c:pt idx="47">
                  <c:v>6.1019205577869426</c:v>
                </c:pt>
                <c:pt idx="48">
                  <c:v>6.1021434581583813</c:v>
                </c:pt>
                <c:pt idx="49">
                  <c:v>6.1021944931859888</c:v>
                </c:pt>
                <c:pt idx="50">
                  <c:v>6.1022293848956206</c:v>
                </c:pt>
                <c:pt idx="51">
                  <c:v>6.1023766453198531</c:v>
                </c:pt>
                <c:pt idx="52">
                  <c:v>6.1024507767261253</c:v>
                </c:pt>
                <c:pt idx="53">
                  <c:v>6.1026733481973343</c:v>
                </c:pt>
                <c:pt idx="54">
                  <c:v>6.1027835376895725</c:v>
                </c:pt>
                <c:pt idx="55">
                  <c:v>6.1028015238411681</c:v>
                </c:pt>
                <c:pt idx="56">
                  <c:v>6.1030573174307081</c:v>
                </c:pt>
                <c:pt idx="57">
                  <c:v>6.1032740672958923</c:v>
                </c:pt>
                <c:pt idx="58">
                  <c:v>6.1034850512843439</c:v>
                </c:pt>
                <c:pt idx="59">
                  <c:v>6.1035027060115112</c:v>
                </c:pt>
                <c:pt idx="60">
                  <c:v>6.1038640207120771</c:v>
                </c:pt>
                <c:pt idx="61">
                  <c:v>6.1039100404408284</c:v>
                </c:pt>
                <c:pt idx="62">
                  <c:v>6.1040703117127695</c:v>
                </c:pt>
                <c:pt idx="63">
                  <c:v>6.1042892562489897</c:v>
                </c:pt>
                <c:pt idx="64">
                  <c:v>6.1044813815650869</c:v>
                </c:pt>
                <c:pt idx="65">
                  <c:v>6.1045676887339217</c:v>
                </c:pt>
                <c:pt idx="66">
                  <c:v>6.104586271127479</c:v>
                </c:pt>
                <c:pt idx="67">
                  <c:v>6.1047328284968367</c:v>
                </c:pt>
                <c:pt idx="68">
                  <c:v>6.1047726703888276</c:v>
                </c:pt>
                <c:pt idx="69">
                  <c:v>6.1048268802736354</c:v>
                </c:pt>
                <c:pt idx="70">
                  <c:v>6.1053787580003727</c:v>
                </c:pt>
                <c:pt idx="71">
                  <c:v>6.1062855517055095</c:v>
                </c:pt>
                <c:pt idx="72">
                  <c:v>6.1072770022483756</c:v>
                </c:pt>
                <c:pt idx="73">
                  <c:v>6.1083417749404951</c:v>
                </c:pt>
                <c:pt idx="74">
                  <c:v>6.1094713792496389</c:v>
                </c:pt>
                <c:pt idx="75">
                  <c:v>6.1106569821888881</c:v>
                </c:pt>
                <c:pt idx="76">
                  <c:v>6.111887647089489</c:v>
                </c:pt>
                <c:pt idx="77">
                  <c:v>6.1131494902282402</c:v>
                </c:pt>
                <c:pt idx="78">
                  <c:v>6.114428526227301</c:v>
                </c:pt>
                <c:pt idx="79">
                  <c:v>6.1157123532092514</c:v>
                </c:pt>
                <c:pt idx="80">
                  <c:v>6.1169919520038238</c:v>
                </c:pt>
                <c:pt idx="81">
                  <c:v>6.1182606259970296</c:v>
                </c:pt>
                <c:pt idx="82">
                  <c:v>6.1195152575889749</c:v>
                </c:pt>
                <c:pt idx="83">
                  <c:v>6.1207506436653549</c:v>
                </c:pt>
                <c:pt idx="84">
                  <c:v>6.1219589699361361</c:v>
                </c:pt>
                <c:pt idx="85">
                  <c:v>6.1231303300508948</c:v>
                </c:pt>
                <c:pt idx="86">
                  <c:v>6.1242560157076955</c:v>
                </c:pt>
                <c:pt idx="87">
                  <c:v>6.1253282323611407</c:v>
                </c:pt>
                <c:pt idx="88">
                  <c:v>6.1263397067257372</c:v>
                </c:pt>
                <c:pt idx="89">
                  <c:v>6.1272825495822705</c:v>
                </c:pt>
                <c:pt idx="90">
                  <c:v>6.1281496155561079</c:v>
                </c:pt>
                <c:pt idx="91">
                  <c:v>6.1289334752828868</c:v>
                </c:pt>
                <c:pt idx="92">
                  <c:v>6.1296264759459085</c:v>
                </c:pt>
                <c:pt idx="93">
                  <c:v>6.1302206160731165</c:v>
                </c:pt>
                <c:pt idx="94">
                  <c:v>6.1306475028717546</c:v>
                </c:pt>
                <c:pt idx="95">
                  <c:v>6.1306575366502303</c:v>
                </c:pt>
                <c:pt idx="96">
                  <c:v>6.1307091909445157</c:v>
                </c:pt>
                <c:pt idx="97">
                  <c:v>6.1307348402241271</c:v>
                </c:pt>
                <c:pt idx="98">
                  <c:v>6.1307572468497638</c:v>
                </c:pt>
                <c:pt idx="99">
                  <c:v>6.1309167844820056</c:v>
                </c:pt>
                <c:pt idx="100">
                  <c:v>6.1309193743150097</c:v>
                </c:pt>
                <c:pt idx="101">
                  <c:v>6.1310874896908629</c:v>
                </c:pt>
                <c:pt idx="102">
                  <c:v>6.131105560610961</c:v>
                </c:pt>
                <c:pt idx="103">
                  <c:v>6.131290679171614</c:v>
                </c:pt>
                <c:pt idx="104">
                  <c:v>6.131354852031782</c:v>
                </c:pt>
                <c:pt idx="105">
                  <c:v>6.1314447996547106</c:v>
                </c:pt>
                <c:pt idx="106">
                  <c:v>6.1315145993063194</c:v>
                </c:pt>
                <c:pt idx="107">
                  <c:v>6.1315455161640813</c:v>
                </c:pt>
                <c:pt idx="108">
                  <c:v>6.1315740607877585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16-B641-BB21-FB55A601C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0302032"/>
        <c:axId val="420304304"/>
      </c:scatterChart>
      <c:valAx>
        <c:axId val="420302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0304304"/>
        <c:crosses val="autoZero"/>
        <c:crossBetween val="midCat"/>
      </c:valAx>
      <c:valAx>
        <c:axId val="420304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HP(logGDP)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203020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Japan: Employment Rate vs Share of Older Workers (55–64)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DATA!$T$1</c:f>
              <c:strCache>
                <c:ptCount val="1"/>
                <c:pt idx="0">
                  <c:v>Employment Rate (15-64),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DATA!$A$2:$A$125</c:f>
              <c:numCache>
                <c:formatCode>yyyy\-mm\-dd</c:formatCode>
                <c:ptCount val="124"/>
                <c:pt idx="0">
                  <c:v>34335</c:v>
                </c:pt>
                <c:pt idx="1">
                  <c:v>34425</c:v>
                </c:pt>
                <c:pt idx="2">
                  <c:v>34516</c:v>
                </c:pt>
                <c:pt idx="3">
                  <c:v>34608</c:v>
                </c:pt>
                <c:pt idx="4">
                  <c:v>34700</c:v>
                </c:pt>
                <c:pt idx="5">
                  <c:v>34790</c:v>
                </c:pt>
                <c:pt idx="6">
                  <c:v>34881</c:v>
                </c:pt>
                <c:pt idx="7">
                  <c:v>34973</c:v>
                </c:pt>
                <c:pt idx="8">
                  <c:v>35065</c:v>
                </c:pt>
                <c:pt idx="9">
                  <c:v>35156</c:v>
                </c:pt>
                <c:pt idx="10">
                  <c:v>35247</c:v>
                </c:pt>
                <c:pt idx="11">
                  <c:v>35339</c:v>
                </c:pt>
                <c:pt idx="12">
                  <c:v>35431</c:v>
                </c:pt>
                <c:pt idx="13">
                  <c:v>35521</c:v>
                </c:pt>
                <c:pt idx="14">
                  <c:v>35612</c:v>
                </c:pt>
                <c:pt idx="15">
                  <c:v>35704</c:v>
                </c:pt>
                <c:pt idx="16">
                  <c:v>35796</c:v>
                </c:pt>
                <c:pt idx="17">
                  <c:v>35886</c:v>
                </c:pt>
                <c:pt idx="18">
                  <c:v>35977</c:v>
                </c:pt>
                <c:pt idx="19">
                  <c:v>36069</c:v>
                </c:pt>
                <c:pt idx="20">
                  <c:v>36161</c:v>
                </c:pt>
                <c:pt idx="21">
                  <c:v>36251</c:v>
                </c:pt>
                <c:pt idx="22">
                  <c:v>36342</c:v>
                </c:pt>
                <c:pt idx="23">
                  <c:v>36434</c:v>
                </c:pt>
                <c:pt idx="24">
                  <c:v>36526</c:v>
                </c:pt>
                <c:pt idx="25">
                  <c:v>36617</c:v>
                </c:pt>
                <c:pt idx="26">
                  <c:v>36708</c:v>
                </c:pt>
                <c:pt idx="27">
                  <c:v>36800</c:v>
                </c:pt>
                <c:pt idx="28">
                  <c:v>36892</c:v>
                </c:pt>
                <c:pt idx="29">
                  <c:v>36982</c:v>
                </c:pt>
                <c:pt idx="30">
                  <c:v>37073</c:v>
                </c:pt>
                <c:pt idx="31">
                  <c:v>37165</c:v>
                </c:pt>
                <c:pt idx="32">
                  <c:v>37257</c:v>
                </c:pt>
                <c:pt idx="33">
                  <c:v>37347</c:v>
                </c:pt>
                <c:pt idx="34">
                  <c:v>37438</c:v>
                </c:pt>
                <c:pt idx="35">
                  <c:v>37530</c:v>
                </c:pt>
                <c:pt idx="36">
                  <c:v>37622</c:v>
                </c:pt>
                <c:pt idx="37">
                  <c:v>37712</c:v>
                </c:pt>
                <c:pt idx="38">
                  <c:v>37803</c:v>
                </c:pt>
                <c:pt idx="39">
                  <c:v>37895</c:v>
                </c:pt>
                <c:pt idx="40">
                  <c:v>37987</c:v>
                </c:pt>
                <c:pt idx="41">
                  <c:v>38078</c:v>
                </c:pt>
                <c:pt idx="42">
                  <c:v>38169</c:v>
                </c:pt>
                <c:pt idx="43">
                  <c:v>38261</c:v>
                </c:pt>
                <c:pt idx="44">
                  <c:v>38353</c:v>
                </c:pt>
                <c:pt idx="45">
                  <c:v>38443</c:v>
                </c:pt>
                <c:pt idx="46">
                  <c:v>38534</c:v>
                </c:pt>
                <c:pt idx="47">
                  <c:v>38626</c:v>
                </c:pt>
                <c:pt idx="48">
                  <c:v>38718</c:v>
                </c:pt>
                <c:pt idx="49">
                  <c:v>38808</c:v>
                </c:pt>
                <c:pt idx="50">
                  <c:v>38899</c:v>
                </c:pt>
                <c:pt idx="51">
                  <c:v>38991</c:v>
                </c:pt>
                <c:pt idx="52">
                  <c:v>39083</c:v>
                </c:pt>
                <c:pt idx="53">
                  <c:v>39173</c:v>
                </c:pt>
                <c:pt idx="54">
                  <c:v>39264</c:v>
                </c:pt>
                <c:pt idx="55">
                  <c:v>39356</c:v>
                </c:pt>
                <c:pt idx="56">
                  <c:v>39448</c:v>
                </c:pt>
                <c:pt idx="57">
                  <c:v>39539</c:v>
                </c:pt>
                <c:pt idx="58">
                  <c:v>39630</c:v>
                </c:pt>
                <c:pt idx="59">
                  <c:v>39722</c:v>
                </c:pt>
                <c:pt idx="60">
                  <c:v>39814</c:v>
                </c:pt>
                <c:pt idx="61">
                  <c:v>39904</c:v>
                </c:pt>
                <c:pt idx="62">
                  <c:v>39995</c:v>
                </c:pt>
                <c:pt idx="63">
                  <c:v>40087</c:v>
                </c:pt>
                <c:pt idx="64">
                  <c:v>40179</c:v>
                </c:pt>
                <c:pt idx="65">
                  <c:v>40269</c:v>
                </c:pt>
                <c:pt idx="66">
                  <c:v>40360</c:v>
                </c:pt>
                <c:pt idx="67">
                  <c:v>40452</c:v>
                </c:pt>
                <c:pt idx="68">
                  <c:v>40544</c:v>
                </c:pt>
                <c:pt idx="69">
                  <c:v>40634</c:v>
                </c:pt>
                <c:pt idx="70">
                  <c:v>40725</c:v>
                </c:pt>
                <c:pt idx="71">
                  <c:v>40817</c:v>
                </c:pt>
                <c:pt idx="72">
                  <c:v>40909</c:v>
                </c:pt>
                <c:pt idx="73">
                  <c:v>41000</c:v>
                </c:pt>
                <c:pt idx="74">
                  <c:v>41091</c:v>
                </c:pt>
                <c:pt idx="75">
                  <c:v>41183</c:v>
                </c:pt>
                <c:pt idx="76">
                  <c:v>41275</c:v>
                </c:pt>
                <c:pt idx="77">
                  <c:v>41365</c:v>
                </c:pt>
                <c:pt idx="78">
                  <c:v>41456</c:v>
                </c:pt>
                <c:pt idx="79">
                  <c:v>41548</c:v>
                </c:pt>
                <c:pt idx="80">
                  <c:v>41640</c:v>
                </c:pt>
                <c:pt idx="81">
                  <c:v>41730</c:v>
                </c:pt>
                <c:pt idx="82">
                  <c:v>41821</c:v>
                </c:pt>
                <c:pt idx="83">
                  <c:v>41913</c:v>
                </c:pt>
                <c:pt idx="84">
                  <c:v>42005</c:v>
                </c:pt>
                <c:pt idx="85">
                  <c:v>42095</c:v>
                </c:pt>
                <c:pt idx="86">
                  <c:v>42186</c:v>
                </c:pt>
                <c:pt idx="87">
                  <c:v>42278</c:v>
                </c:pt>
                <c:pt idx="88">
                  <c:v>42370</c:v>
                </c:pt>
                <c:pt idx="89">
                  <c:v>42461</c:v>
                </c:pt>
                <c:pt idx="90">
                  <c:v>42552</c:v>
                </c:pt>
                <c:pt idx="91">
                  <c:v>42644</c:v>
                </c:pt>
                <c:pt idx="92">
                  <c:v>42736</c:v>
                </c:pt>
                <c:pt idx="93">
                  <c:v>42826</c:v>
                </c:pt>
                <c:pt idx="94">
                  <c:v>42917</c:v>
                </c:pt>
                <c:pt idx="95">
                  <c:v>43009</c:v>
                </c:pt>
                <c:pt idx="96">
                  <c:v>43101</c:v>
                </c:pt>
                <c:pt idx="97">
                  <c:v>43191</c:v>
                </c:pt>
                <c:pt idx="98">
                  <c:v>43282</c:v>
                </c:pt>
                <c:pt idx="99">
                  <c:v>43374</c:v>
                </c:pt>
                <c:pt idx="100">
                  <c:v>43466</c:v>
                </c:pt>
                <c:pt idx="101">
                  <c:v>43556</c:v>
                </c:pt>
                <c:pt idx="102">
                  <c:v>43647</c:v>
                </c:pt>
                <c:pt idx="103">
                  <c:v>43739</c:v>
                </c:pt>
                <c:pt idx="104">
                  <c:v>43831</c:v>
                </c:pt>
                <c:pt idx="105">
                  <c:v>43922</c:v>
                </c:pt>
                <c:pt idx="106">
                  <c:v>44013</c:v>
                </c:pt>
                <c:pt idx="107">
                  <c:v>44105</c:v>
                </c:pt>
                <c:pt idx="108">
                  <c:v>44197</c:v>
                </c:pt>
                <c:pt idx="109">
                  <c:v>44287</c:v>
                </c:pt>
                <c:pt idx="110">
                  <c:v>44378</c:v>
                </c:pt>
                <c:pt idx="111">
                  <c:v>44470</c:v>
                </c:pt>
                <c:pt idx="112">
                  <c:v>44562</c:v>
                </c:pt>
                <c:pt idx="113">
                  <c:v>44652</c:v>
                </c:pt>
                <c:pt idx="114">
                  <c:v>44743</c:v>
                </c:pt>
                <c:pt idx="115">
                  <c:v>44835</c:v>
                </c:pt>
                <c:pt idx="116">
                  <c:v>44927</c:v>
                </c:pt>
                <c:pt idx="117">
                  <c:v>45017</c:v>
                </c:pt>
                <c:pt idx="118">
                  <c:v>45108</c:v>
                </c:pt>
                <c:pt idx="119">
                  <c:v>45200</c:v>
                </c:pt>
                <c:pt idx="120">
                  <c:v>45292</c:v>
                </c:pt>
                <c:pt idx="121">
                  <c:v>45383</c:v>
                </c:pt>
                <c:pt idx="122">
                  <c:v>45474</c:v>
                </c:pt>
                <c:pt idx="123">
                  <c:v>45566</c:v>
                </c:pt>
              </c:numCache>
            </c:numRef>
          </c:cat>
          <c:val>
            <c:numRef>
              <c:f>DATA!$T$2:$T$125</c:f>
              <c:numCache>
                <c:formatCode>0.0000%</c:formatCode>
                <c:ptCount val="124"/>
                <c:pt idx="0">
                  <c:v>0.69346560000000002</c:v>
                </c:pt>
                <c:pt idx="1">
                  <c:v>0.69512330000000011</c:v>
                </c:pt>
                <c:pt idx="2">
                  <c:v>0.69267690000000004</c:v>
                </c:pt>
                <c:pt idx="3">
                  <c:v>0.69249939999999999</c:v>
                </c:pt>
                <c:pt idx="4">
                  <c:v>0.69264529999999991</c:v>
                </c:pt>
                <c:pt idx="5">
                  <c:v>0.6922562000000001</c:v>
                </c:pt>
                <c:pt idx="6">
                  <c:v>0.69300120000000009</c:v>
                </c:pt>
                <c:pt idx="7">
                  <c:v>0.69217550000000005</c:v>
                </c:pt>
                <c:pt idx="8">
                  <c:v>0.69315950000000004</c:v>
                </c:pt>
                <c:pt idx="9">
                  <c:v>0.69488309999999998</c:v>
                </c:pt>
                <c:pt idx="10">
                  <c:v>0.6976405</c:v>
                </c:pt>
                <c:pt idx="11">
                  <c:v>0.69695499999999999</c:v>
                </c:pt>
                <c:pt idx="12">
                  <c:v>0.70036220000000005</c:v>
                </c:pt>
                <c:pt idx="13">
                  <c:v>0.70121009999999995</c:v>
                </c:pt>
                <c:pt idx="14">
                  <c:v>0.70115139999999998</c:v>
                </c:pt>
                <c:pt idx="15">
                  <c:v>0.69988360000000005</c:v>
                </c:pt>
                <c:pt idx="16">
                  <c:v>0.69922589999999996</c:v>
                </c:pt>
                <c:pt idx="17">
                  <c:v>0.69592860000000001</c:v>
                </c:pt>
                <c:pt idx="18">
                  <c:v>0.69454159999999998</c:v>
                </c:pt>
                <c:pt idx="19">
                  <c:v>0.69277180000000005</c:v>
                </c:pt>
                <c:pt idx="20">
                  <c:v>0.69086890000000001</c:v>
                </c:pt>
                <c:pt idx="21">
                  <c:v>0.68988339999999992</c:v>
                </c:pt>
                <c:pt idx="22">
                  <c:v>0.69019200000000003</c:v>
                </c:pt>
                <c:pt idx="23">
                  <c:v>0.68990849999999992</c:v>
                </c:pt>
                <c:pt idx="24">
                  <c:v>0.68758979999999992</c:v>
                </c:pt>
                <c:pt idx="25">
                  <c:v>0.69022220000000001</c:v>
                </c:pt>
                <c:pt idx="26">
                  <c:v>0.6901018000000001</c:v>
                </c:pt>
                <c:pt idx="27">
                  <c:v>0.69165699999999997</c:v>
                </c:pt>
                <c:pt idx="28">
                  <c:v>0.69259910000000002</c:v>
                </c:pt>
                <c:pt idx="29">
                  <c:v>0.68971689999999997</c:v>
                </c:pt>
                <c:pt idx="30">
                  <c:v>0.68642709999999996</c:v>
                </c:pt>
                <c:pt idx="31">
                  <c:v>0.6848403999999999</c:v>
                </c:pt>
                <c:pt idx="32">
                  <c:v>0.68420809999999999</c:v>
                </c:pt>
                <c:pt idx="33">
                  <c:v>0.68166139999999997</c:v>
                </c:pt>
                <c:pt idx="34">
                  <c:v>0.6828225</c:v>
                </c:pt>
                <c:pt idx="35">
                  <c:v>0.68385609999999997</c:v>
                </c:pt>
                <c:pt idx="36">
                  <c:v>0.68329049999999991</c:v>
                </c:pt>
                <c:pt idx="37">
                  <c:v>0.68334339999999993</c:v>
                </c:pt>
                <c:pt idx="38">
                  <c:v>0.68473290000000009</c:v>
                </c:pt>
                <c:pt idx="39">
                  <c:v>0.68699610000000011</c:v>
                </c:pt>
                <c:pt idx="40">
                  <c:v>0.68703599999999998</c:v>
                </c:pt>
                <c:pt idx="41">
                  <c:v>0.68665809999999994</c:v>
                </c:pt>
                <c:pt idx="42">
                  <c:v>0.68894290000000002</c:v>
                </c:pt>
                <c:pt idx="43">
                  <c:v>0.68996799999999991</c:v>
                </c:pt>
                <c:pt idx="44">
                  <c:v>0.69093270000000007</c:v>
                </c:pt>
                <c:pt idx="45">
                  <c:v>0.6932005</c:v>
                </c:pt>
                <c:pt idx="46">
                  <c:v>0.69606699999999999</c:v>
                </c:pt>
                <c:pt idx="47">
                  <c:v>0.69468279999999993</c:v>
                </c:pt>
                <c:pt idx="48">
                  <c:v>0.69822819999999997</c:v>
                </c:pt>
                <c:pt idx="49">
                  <c:v>0.69987189999999999</c:v>
                </c:pt>
                <c:pt idx="50">
                  <c:v>0.70109800000000011</c:v>
                </c:pt>
                <c:pt idx="51">
                  <c:v>0.70220190000000005</c:v>
                </c:pt>
                <c:pt idx="52">
                  <c:v>0.70437439999999996</c:v>
                </c:pt>
                <c:pt idx="53">
                  <c:v>0.70925399999999994</c:v>
                </c:pt>
                <c:pt idx="54">
                  <c:v>0.70795750000000002</c:v>
                </c:pt>
                <c:pt idx="55">
                  <c:v>0.70927070000000003</c:v>
                </c:pt>
                <c:pt idx="56">
                  <c:v>0.70772299999999999</c:v>
                </c:pt>
                <c:pt idx="57">
                  <c:v>0.7094743</c:v>
                </c:pt>
                <c:pt idx="58">
                  <c:v>0.70843810000000007</c:v>
                </c:pt>
                <c:pt idx="59">
                  <c:v>0.7091073</c:v>
                </c:pt>
                <c:pt idx="60">
                  <c:v>0.70525409999999988</c:v>
                </c:pt>
                <c:pt idx="61">
                  <c:v>0.70028499999999994</c:v>
                </c:pt>
                <c:pt idx="62">
                  <c:v>0.70060180000000005</c:v>
                </c:pt>
                <c:pt idx="63">
                  <c:v>0.70080029999999993</c:v>
                </c:pt>
                <c:pt idx="64">
                  <c:v>0.702569</c:v>
                </c:pt>
                <c:pt idx="65">
                  <c:v>0.70078220000000002</c:v>
                </c:pt>
                <c:pt idx="66">
                  <c:v>0.70402310000000001</c:v>
                </c:pt>
                <c:pt idx="67">
                  <c:v>0.70396400000000003</c:v>
                </c:pt>
                <c:pt idx="68">
                  <c:v>0.70826260000000008</c:v>
                </c:pt>
                <c:pt idx="69">
                  <c:v>0.71072590000000002</c:v>
                </c:pt>
                <c:pt idx="70">
                  <c:v>0.70785229999999999</c:v>
                </c:pt>
                <c:pt idx="71">
                  <c:v>0.7050805</c:v>
                </c:pt>
                <c:pt idx="72">
                  <c:v>0.7037736</c:v>
                </c:pt>
                <c:pt idx="73">
                  <c:v>0.70501410000000009</c:v>
                </c:pt>
                <c:pt idx="74">
                  <c:v>0.70697199999999993</c:v>
                </c:pt>
                <c:pt idx="75">
                  <c:v>0.70907939999999992</c:v>
                </c:pt>
                <c:pt idx="76">
                  <c:v>0.71262469999999989</c:v>
                </c:pt>
                <c:pt idx="77">
                  <c:v>0.71642810000000001</c:v>
                </c:pt>
                <c:pt idx="78">
                  <c:v>0.71929919999999992</c:v>
                </c:pt>
                <c:pt idx="79">
                  <c:v>0.7220818</c:v>
                </c:pt>
                <c:pt idx="80">
                  <c:v>0.7251071</c:v>
                </c:pt>
                <c:pt idx="81">
                  <c:v>0.72716059999999993</c:v>
                </c:pt>
                <c:pt idx="82">
                  <c:v>0.72844920000000002</c:v>
                </c:pt>
                <c:pt idx="83">
                  <c:v>0.72978639999999995</c:v>
                </c:pt>
                <c:pt idx="84">
                  <c:v>0.73127560000000003</c:v>
                </c:pt>
                <c:pt idx="85">
                  <c:v>0.73207660000000008</c:v>
                </c:pt>
                <c:pt idx="86">
                  <c:v>0.73462000000000005</c:v>
                </c:pt>
                <c:pt idx="87">
                  <c:v>0.73793209999999998</c:v>
                </c:pt>
                <c:pt idx="88">
                  <c:v>0.74077399999999993</c:v>
                </c:pt>
                <c:pt idx="89">
                  <c:v>0.74290890000000009</c:v>
                </c:pt>
                <c:pt idx="90">
                  <c:v>0.74659580000000003</c:v>
                </c:pt>
                <c:pt idx="91">
                  <c:v>0.74847399999999997</c:v>
                </c:pt>
                <c:pt idx="92">
                  <c:v>0.74915960000000004</c:v>
                </c:pt>
                <c:pt idx="93">
                  <c:v>0.75199690000000008</c:v>
                </c:pt>
                <c:pt idx="94">
                  <c:v>0.75533069999999991</c:v>
                </c:pt>
                <c:pt idx="95">
                  <c:v>0.75835900000000001</c:v>
                </c:pt>
                <c:pt idx="96">
                  <c:v>0.76441890000000001</c:v>
                </c:pt>
                <c:pt idx="97">
                  <c:v>0.76918009999999992</c:v>
                </c:pt>
                <c:pt idx="98">
                  <c:v>0.77033360000000006</c:v>
                </c:pt>
                <c:pt idx="99">
                  <c:v>0.77377059999999998</c:v>
                </c:pt>
                <c:pt idx="100">
                  <c:v>0.7751927999999999</c:v>
                </c:pt>
                <c:pt idx="101">
                  <c:v>0.77705899999999994</c:v>
                </c:pt>
                <c:pt idx="102">
                  <c:v>0.77927189999999991</c:v>
                </c:pt>
                <c:pt idx="103">
                  <c:v>0.78097210000000006</c:v>
                </c:pt>
                <c:pt idx="104">
                  <c:v>0.78067369999999991</c:v>
                </c:pt>
                <c:pt idx="105">
                  <c:v>0.77086650000000001</c:v>
                </c:pt>
                <c:pt idx="106">
                  <c:v>0.77168170000000003</c:v>
                </c:pt>
                <c:pt idx="107">
                  <c:v>0.77474599999999993</c:v>
                </c:pt>
                <c:pt idx="108">
                  <c:v>0.77773009999999998</c:v>
                </c:pt>
                <c:pt idx="109">
                  <c:v>0.77802440000000006</c:v>
                </c:pt>
                <c:pt idx="110">
                  <c:v>0.78006310000000001</c:v>
                </c:pt>
                <c:pt idx="111">
                  <c:v>0.77927740000000001</c:v>
                </c:pt>
                <c:pt idx="112">
                  <c:v>0.78100989999999992</c:v>
                </c:pt>
                <c:pt idx="113">
                  <c:v>0.78543629999999998</c:v>
                </c:pt>
                <c:pt idx="114">
                  <c:v>0.7860857</c:v>
                </c:pt>
                <c:pt idx="115">
                  <c:v>0.78549099999999994</c:v>
                </c:pt>
                <c:pt idx="116">
                  <c:v>0.78641300000000003</c:v>
                </c:pt>
                <c:pt idx="117">
                  <c:v>0.78895160000000009</c:v>
                </c:pt>
                <c:pt idx="118">
                  <c:v>0.79015649999999993</c:v>
                </c:pt>
                <c:pt idx="119">
                  <c:v>0.79206399999999999</c:v>
                </c:pt>
                <c:pt idx="120">
                  <c:v>0.79148229999999997</c:v>
                </c:pt>
                <c:pt idx="121">
                  <c:v>0.79285410000000001</c:v>
                </c:pt>
                <c:pt idx="122">
                  <c:v>0.79535330000000004</c:v>
                </c:pt>
                <c:pt idx="123">
                  <c:v>0.79778070000000001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7-D944-B09E-5320EB255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7112432"/>
        <c:axId val="461479264"/>
      </c:lineChart>
      <c:lineChart>
        <c:grouping val="standard"/>
        <c:varyColors val="0"/>
        <c:ser>
          <c:idx val="1"/>
          <c:order val="1"/>
          <c:tx>
            <c:strRef>
              <c:f>DATA!$U$1</c:f>
              <c:strCache>
                <c:ptCount val="1"/>
                <c:pt idx="0">
                  <c:v>Share of 55-64 in the Labor Force,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DATA!$A$2:$A$125</c:f>
              <c:numCache>
                <c:formatCode>yyyy\-mm\-dd</c:formatCode>
                <c:ptCount val="124"/>
                <c:pt idx="0">
                  <c:v>34335</c:v>
                </c:pt>
                <c:pt idx="1">
                  <c:v>34425</c:v>
                </c:pt>
                <c:pt idx="2">
                  <c:v>34516</c:v>
                </c:pt>
                <c:pt idx="3">
                  <c:v>34608</c:v>
                </c:pt>
                <c:pt idx="4">
                  <c:v>34700</c:v>
                </c:pt>
                <c:pt idx="5">
                  <c:v>34790</c:v>
                </c:pt>
                <c:pt idx="6">
                  <c:v>34881</c:v>
                </c:pt>
                <c:pt idx="7">
                  <c:v>34973</c:v>
                </c:pt>
                <c:pt idx="8">
                  <c:v>35065</c:v>
                </c:pt>
                <c:pt idx="9">
                  <c:v>35156</c:v>
                </c:pt>
                <c:pt idx="10">
                  <c:v>35247</c:v>
                </c:pt>
                <c:pt idx="11">
                  <c:v>35339</c:v>
                </c:pt>
                <c:pt idx="12">
                  <c:v>35431</c:v>
                </c:pt>
                <c:pt idx="13">
                  <c:v>35521</c:v>
                </c:pt>
                <c:pt idx="14">
                  <c:v>35612</c:v>
                </c:pt>
                <c:pt idx="15">
                  <c:v>35704</c:v>
                </c:pt>
                <c:pt idx="16">
                  <c:v>35796</c:v>
                </c:pt>
                <c:pt idx="17">
                  <c:v>35886</c:v>
                </c:pt>
                <c:pt idx="18">
                  <c:v>35977</c:v>
                </c:pt>
                <c:pt idx="19">
                  <c:v>36069</c:v>
                </c:pt>
                <c:pt idx="20">
                  <c:v>36161</c:v>
                </c:pt>
                <c:pt idx="21">
                  <c:v>36251</c:v>
                </c:pt>
                <c:pt idx="22">
                  <c:v>36342</c:v>
                </c:pt>
                <c:pt idx="23">
                  <c:v>36434</c:v>
                </c:pt>
                <c:pt idx="24">
                  <c:v>36526</c:v>
                </c:pt>
                <c:pt idx="25">
                  <c:v>36617</c:v>
                </c:pt>
                <c:pt idx="26">
                  <c:v>36708</c:v>
                </c:pt>
                <c:pt idx="27">
                  <c:v>36800</c:v>
                </c:pt>
                <c:pt idx="28">
                  <c:v>36892</c:v>
                </c:pt>
                <c:pt idx="29">
                  <c:v>36982</c:v>
                </c:pt>
                <c:pt idx="30">
                  <c:v>37073</c:v>
                </c:pt>
                <c:pt idx="31">
                  <c:v>37165</c:v>
                </c:pt>
                <c:pt idx="32">
                  <c:v>37257</c:v>
                </c:pt>
                <c:pt idx="33">
                  <c:v>37347</c:v>
                </c:pt>
                <c:pt idx="34">
                  <c:v>37438</c:v>
                </c:pt>
                <c:pt idx="35">
                  <c:v>37530</c:v>
                </c:pt>
                <c:pt idx="36">
                  <c:v>37622</c:v>
                </c:pt>
                <c:pt idx="37">
                  <c:v>37712</c:v>
                </c:pt>
                <c:pt idx="38">
                  <c:v>37803</c:v>
                </c:pt>
                <c:pt idx="39">
                  <c:v>37895</c:v>
                </c:pt>
                <c:pt idx="40">
                  <c:v>37987</c:v>
                </c:pt>
                <c:pt idx="41">
                  <c:v>38078</c:v>
                </c:pt>
                <c:pt idx="42">
                  <c:v>38169</c:v>
                </c:pt>
                <c:pt idx="43">
                  <c:v>38261</c:v>
                </c:pt>
                <c:pt idx="44">
                  <c:v>38353</c:v>
                </c:pt>
                <c:pt idx="45">
                  <c:v>38443</c:v>
                </c:pt>
                <c:pt idx="46">
                  <c:v>38534</c:v>
                </c:pt>
                <c:pt idx="47">
                  <c:v>38626</c:v>
                </c:pt>
                <c:pt idx="48">
                  <c:v>38718</c:v>
                </c:pt>
                <c:pt idx="49">
                  <c:v>38808</c:v>
                </c:pt>
                <c:pt idx="50">
                  <c:v>38899</c:v>
                </c:pt>
                <c:pt idx="51">
                  <c:v>38991</c:v>
                </c:pt>
                <c:pt idx="52">
                  <c:v>39083</c:v>
                </c:pt>
                <c:pt idx="53">
                  <c:v>39173</c:v>
                </c:pt>
                <c:pt idx="54">
                  <c:v>39264</c:v>
                </c:pt>
                <c:pt idx="55">
                  <c:v>39356</c:v>
                </c:pt>
                <c:pt idx="56">
                  <c:v>39448</c:v>
                </c:pt>
                <c:pt idx="57">
                  <c:v>39539</c:v>
                </c:pt>
                <c:pt idx="58">
                  <c:v>39630</c:v>
                </c:pt>
                <c:pt idx="59">
                  <c:v>39722</c:v>
                </c:pt>
                <c:pt idx="60">
                  <c:v>39814</c:v>
                </c:pt>
                <c:pt idx="61">
                  <c:v>39904</c:v>
                </c:pt>
                <c:pt idx="62">
                  <c:v>39995</c:v>
                </c:pt>
                <c:pt idx="63">
                  <c:v>40087</c:v>
                </c:pt>
                <c:pt idx="64">
                  <c:v>40179</c:v>
                </c:pt>
                <c:pt idx="65">
                  <c:v>40269</c:v>
                </c:pt>
                <c:pt idx="66">
                  <c:v>40360</c:v>
                </c:pt>
                <c:pt idx="67">
                  <c:v>40452</c:v>
                </c:pt>
                <c:pt idx="68">
                  <c:v>40544</c:v>
                </c:pt>
                <c:pt idx="69">
                  <c:v>40634</c:v>
                </c:pt>
                <c:pt idx="70">
                  <c:v>40725</c:v>
                </c:pt>
                <c:pt idx="71">
                  <c:v>40817</c:v>
                </c:pt>
                <c:pt idx="72">
                  <c:v>40909</c:v>
                </c:pt>
                <c:pt idx="73">
                  <c:v>41000</c:v>
                </c:pt>
                <c:pt idx="74">
                  <c:v>41091</c:v>
                </c:pt>
                <c:pt idx="75">
                  <c:v>41183</c:v>
                </c:pt>
                <c:pt idx="76">
                  <c:v>41275</c:v>
                </c:pt>
                <c:pt idx="77">
                  <c:v>41365</c:v>
                </c:pt>
                <c:pt idx="78">
                  <c:v>41456</c:v>
                </c:pt>
                <c:pt idx="79">
                  <c:v>41548</c:v>
                </c:pt>
                <c:pt idx="80">
                  <c:v>41640</c:v>
                </c:pt>
                <c:pt idx="81">
                  <c:v>41730</c:v>
                </c:pt>
                <c:pt idx="82">
                  <c:v>41821</c:v>
                </c:pt>
                <c:pt idx="83">
                  <c:v>41913</c:v>
                </c:pt>
                <c:pt idx="84">
                  <c:v>42005</c:v>
                </c:pt>
                <c:pt idx="85">
                  <c:v>42095</c:v>
                </c:pt>
                <c:pt idx="86">
                  <c:v>42186</c:v>
                </c:pt>
                <c:pt idx="87">
                  <c:v>42278</c:v>
                </c:pt>
                <c:pt idx="88">
                  <c:v>42370</c:v>
                </c:pt>
                <c:pt idx="89">
                  <c:v>42461</c:v>
                </c:pt>
                <c:pt idx="90">
                  <c:v>42552</c:v>
                </c:pt>
                <c:pt idx="91">
                  <c:v>42644</c:v>
                </c:pt>
                <c:pt idx="92">
                  <c:v>42736</c:v>
                </c:pt>
                <c:pt idx="93">
                  <c:v>42826</c:v>
                </c:pt>
                <c:pt idx="94">
                  <c:v>42917</c:v>
                </c:pt>
                <c:pt idx="95">
                  <c:v>43009</c:v>
                </c:pt>
                <c:pt idx="96">
                  <c:v>43101</c:v>
                </c:pt>
                <c:pt idx="97">
                  <c:v>43191</c:v>
                </c:pt>
                <c:pt idx="98">
                  <c:v>43282</c:v>
                </c:pt>
                <c:pt idx="99">
                  <c:v>43374</c:v>
                </c:pt>
                <c:pt idx="100">
                  <c:v>43466</c:v>
                </c:pt>
                <c:pt idx="101">
                  <c:v>43556</c:v>
                </c:pt>
                <c:pt idx="102">
                  <c:v>43647</c:v>
                </c:pt>
                <c:pt idx="103">
                  <c:v>43739</c:v>
                </c:pt>
                <c:pt idx="104">
                  <c:v>43831</c:v>
                </c:pt>
                <c:pt idx="105">
                  <c:v>43922</c:v>
                </c:pt>
                <c:pt idx="106">
                  <c:v>44013</c:v>
                </c:pt>
                <c:pt idx="107">
                  <c:v>44105</c:v>
                </c:pt>
                <c:pt idx="108">
                  <c:v>44197</c:v>
                </c:pt>
                <c:pt idx="109">
                  <c:v>44287</c:v>
                </c:pt>
                <c:pt idx="110">
                  <c:v>44378</c:v>
                </c:pt>
                <c:pt idx="111">
                  <c:v>44470</c:v>
                </c:pt>
                <c:pt idx="112">
                  <c:v>44562</c:v>
                </c:pt>
                <c:pt idx="113">
                  <c:v>44652</c:v>
                </c:pt>
                <c:pt idx="114">
                  <c:v>44743</c:v>
                </c:pt>
                <c:pt idx="115">
                  <c:v>44835</c:v>
                </c:pt>
                <c:pt idx="116">
                  <c:v>44927</c:v>
                </c:pt>
                <c:pt idx="117">
                  <c:v>45017</c:v>
                </c:pt>
                <c:pt idx="118">
                  <c:v>45108</c:v>
                </c:pt>
                <c:pt idx="119">
                  <c:v>45200</c:v>
                </c:pt>
                <c:pt idx="120">
                  <c:v>45292</c:v>
                </c:pt>
                <c:pt idx="121">
                  <c:v>45383</c:v>
                </c:pt>
                <c:pt idx="122">
                  <c:v>45474</c:v>
                </c:pt>
                <c:pt idx="123">
                  <c:v>45566</c:v>
                </c:pt>
              </c:numCache>
            </c:numRef>
          </c:cat>
          <c:val>
            <c:numRef>
              <c:f>DATA!$U$2:$U$125</c:f>
              <c:numCache>
                <c:formatCode>0.0000%</c:formatCode>
                <c:ptCount val="124"/>
                <c:pt idx="0">
                  <c:v>0.17445860872792679</c:v>
                </c:pt>
                <c:pt idx="1">
                  <c:v>0.17426288822202271</c:v>
                </c:pt>
                <c:pt idx="2">
                  <c:v>0.17417612620029896</c:v>
                </c:pt>
                <c:pt idx="3">
                  <c:v>0.17475276919217606</c:v>
                </c:pt>
                <c:pt idx="4">
                  <c:v>0.17539428903509185</c:v>
                </c:pt>
                <c:pt idx="5">
                  <c:v>0.17600520434304082</c:v>
                </c:pt>
                <c:pt idx="6">
                  <c:v>0.17653979470516415</c:v>
                </c:pt>
                <c:pt idx="7">
                  <c:v>0.17698774994358141</c:v>
                </c:pt>
                <c:pt idx="8">
                  <c:v>0.17769335008065551</c:v>
                </c:pt>
                <c:pt idx="9">
                  <c:v>0.17863209829840238</c:v>
                </c:pt>
                <c:pt idx="10">
                  <c:v>0.179754953291766</c:v>
                </c:pt>
                <c:pt idx="11">
                  <c:v>0.18108285474605013</c:v>
                </c:pt>
                <c:pt idx="12">
                  <c:v>0.18261638504949118</c:v>
                </c:pt>
                <c:pt idx="13">
                  <c:v>0.18327790571617938</c:v>
                </c:pt>
                <c:pt idx="14">
                  <c:v>0.18429004968567322</c:v>
                </c:pt>
                <c:pt idx="15">
                  <c:v>0.18460561702633396</c:v>
                </c:pt>
                <c:pt idx="16">
                  <c:v>0.18506626712656166</c:v>
                </c:pt>
                <c:pt idx="17">
                  <c:v>0.18557307947491761</c:v>
                </c:pt>
                <c:pt idx="18">
                  <c:v>0.18670985239119356</c:v>
                </c:pt>
                <c:pt idx="19">
                  <c:v>0.18753686269252887</c:v>
                </c:pt>
                <c:pt idx="20">
                  <c:v>0.18852981290919624</c:v>
                </c:pt>
                <c:pt idx="21">
                  <c:v>0.18996616784444137</c:v>
                </c:pt>
                <c:pt idx="22">
                  <c:v>0.19058682014935846</c:v>
                </c:pt>
                <c:pt idx="23">
                  <c:v>0.19091209843783288</c:v>
                </c:pt>
                <c:pt idx="24">
                  <c:v>0.19009410685166758</c:v>
                </c:pt>
                <c:pt idx="25">
                  <c:v>0.19034025806269603</c:v>
                </c:pt>
                <c:pt idx="26">
                  <c:v>0.18997532302436607</c:v>
                </c:pt>
                <c:pt idx="27">
                  <c:v>0.1890900753971769</c:v>
                </c:pt>
                <c:pt idx="28">
                  <c:v>0.18725473828702865</c:v>
                </c:pt>
                <c:pt idx="29">
                  <c:v>0.18669543258813817</c:v>
                </c:pt>
                <c:pt idx="30">
                  <c:v>0.18716242410530848</c:v>
                </c:pt>
                <c:pt idx="31">
                  <c:v>0.18838918141068214</c:v>
                </c:pt>
                <c:pt idx="32">
                  <c:v>0.19085413992675135</c:v>
                </c:pt>
                <c:pt idx="33">
                  <c:v>0.19275832726908698</c:v>
                </c:pt>
                <c:pt idx="34">
                  <c:v>0.19495920110472004</c:v>
                </c:pt>
                <c:pt idx="35">
                  <c:v>0.19680949047636592</c:v>
                </c:pt>
                <c:pt idx="36">
                  <c:v>0.19915791273872219</c:v>
                </c:pt>
                <c:pt idx="37">
                  <c:v>0.20156817050250989</c:v>
                </c:pt>
                <c:pt idx="38">
                  <c:v>0.20387456665305723</c:v>
                </c:pt>
                <c:pt idx="39">
                  <c:v>0.20654021338697542</c:v>
                </c:pt>
                <c:pt idx="40">
                  <c:v>0.2090362004018391</c:v>
                </c:pt>
                <c:pt idx="41">
                  <c:v>0.2119394139912342</c:v>
                </c:pt>
                <c:pt idx="42">
                  <c:v>0.21438398616541815</c:v>
                </c:pt>
                <c:pt idx="43">
                  <c:v>0.21690058351243016</c:v>
                </c:pt>
                <c:pt idx="44">
                  <c:v>0.21818116995621128</c:v>
                </c:pt>
                <c:pt idx="45">
                  <c:v>0.21970489713729649</c:v>
                </c:pt>
                <c:pt idx="46">
                  <c:v>0.22099732374514666</c:v>
                </c:pt>
                <c:pt idx="47">
                  <c:v>0.22254885485928252</c:v>
                </c:pt>
                <c:pt idx="48">
                  <c:v>0.22313275106732602</c:v>
                </c:pt>
                <c:pt idx="49">
                  <c:v>0.22388377019012182</c:v>
                </c:pt>
                <c:pt idx="50">
                  <c:v>0.22443322374850239</c:v>
                </c:pt>
                <c:pt idx="51">
                  <c:v>0.22526411453357195</c:v>
                </c:pt>
                <c:pt idx="52">
                  <c:v>0.22689149266586392</c:v>
                </c:pt>
                <c:pt idx="53">
                  <c:v>0.22727730346850877</c:v>
                </c:pt>
                <c:pt idx="54">
                  <c:v>0.22794377881304542</c:v>
                </c:pt>
                <c:pt idx="55">
                  <c:v>0.22860873687057195</c:v>
                </c:pt>
                <c:pt idx="56">
                  <c:v>0.2280790297311264</c:v>
                </c:pt>
                <c:pt idx="57">
                  <c:v>0.22862600307840261</c:v>
                </c:pt>
                <c:pt idx="58">
                  <c:v>0.22886688637413502</c:v>
                </c:pt>
                <c:pt idx="59">
                  <c:v>0.22844430585300701</c:v>
                </c:pt>
                <c:pt idx="60">
                  <c:v>0.2278200111923587</c:v>
                </c:pt>
                <c:pt idx="61">
                  <c:v>0.22779782182794014</c:v>
                </c:pt>
                <c:pt idx="62">
                  <c:v>0.22808916381789041</c:v>
                </c:pt>
                <c:pt idx="63">
                  <c:v>0.22819141371478283</c:v>
                </c:pt>
                <c:pt idx="64">
                  <c:v>0.22867060263854985</c:v>
                </c:pt>
                <c:pt idx="65">
                  <c:v>0.22934773409932457</c:v>
                </c:pt>
                <c:pt idx="66">
                  <c:v>0.23034901038022887</c:v>
                </c:pt>
                <c:pt idx="67">
                  <c:v>0.23066592620384299</c:v>
                </c:pt>
                <c:pt idx="68">
                  <c:v>0.23126635958159927</c:v>
                </c:pt>
                <c:pt idx="69">
                  <c:v>0.23192862237499567</c:v>
                </c:pt>
                <c:pt idx="70">
                  <c:v>0.23215801565794408</c:v>
                </c:pt>
                <c:pt idx="71">
                  <c:v>0.23162832642275469</c:v>
                </c:pt>
                <c:pt idx="72">
                  <c:v>0.23127878350132763</c:v>
                </c:pt>
                <c:pt idx="73">
                  <c:v>0.22956135102630576</c:v>
                </c:pt>
                <c:pt idx="74">
                  <c:v>0.22763878792794809</c:v>
                </c:pt>
                <c:pt idx="75">
                  <c:v>0.22601622314700934</c:v>
                </c:pt>
                <c:pt idx="76">
                  <c:v>0.22415455204735457</c:v>
                </c:pt>
                <c:pt idx="77">
                  <c:v>0.2222537416998534</c:v>
                </c:pt>
                <c:pt idx="78">
                  <c:v>0.22113510236322842</c:v>
                </c:pt>
                <c:pt idx="79">
                  <c:v>0.21939460661972437</c:v>
                </c:pt>
                <c:pt idx="80">
                  <c:v>0.2176605359957961</c:v>
                </c:pt>
                <c:pt idx="81">
                  <c:v>0.21690286296962666</c:v>
                </c:pt>
                <c:pt idx="82">
                  <c:v>0.21447676090480397</c:v>
                </c:pt>
                <c:pt idx="83">
                  <c:v>0.21271035512773273</c:v>
                </c:pt>
                <c:pt idx="84">
                  <c:v>0.21154928596487607</c:v>
                </c:pt>
                <c:pt idx="85">
                  <c:v>0.21053391482387249</c:v>
                </c:pt>
                <c:pt idx="86">
                  <c:v>0.20925463147469719</c:v>
                </c:pt>
                <c:pt idx="87">
                  <c:v>0.20816023636693684</c:v>
                </c:pt>
                <c:pt idx="88">
                  <c:v>0.20673676369955549</c:v>
                </c:pt>
                <c:pt idx="89">
                  <c:v>0.20610645738940234</c:v>
                </c:pt>
                <c:pt idx="90">
                  <c:v>0.20513525493328205</c:v>
                </c:pt>
                <c:pt idx="91">
                  <c:v>0.20451730104032828</c:v>
                </c:pt>
                <c:pt idx="92">
                  <c:v>0.20389736994884605</c:v>
                </c:pt>
                <c:pt idx="93">
                  <c:v>0.20306290082363335</c:v>
                </c:pt>
                <c:pt idx="94">
                  <c:v>0.20266763541002217</c:v>
                </c:pt>
                <c:pt idx="95">
                  <c:v>0.20231436720136967</c:v>
                </c:pt>
                <c:pt idx="96">
                  <c:v>0.20203178412376097</c:v>
                </c:pt>
                <c:pt idx="97">
                  <c:v>0.2020437837538972</c:v>
                </c:pt>
                <c:pt idx="98">
                  <c:v>0.20182983882100738</c:v>
                </c:pt>
                <c:pt idx="99">
                  <c:v>0.20184626142200804</c:v>
                </c:pt>
                <c:pt idx="100">
                  <c:v>0.20205450188546059</c:v>
                </c:pt>
                <c:pt idx="101">
                  <c:v>0.20213234718686954</c:v>
                </c:pt>
                <c:pt idx="102">
                  <c:v>0.20214587571454473</c:v>
                </c:pt>
                <c:pt idx="103">
                  <c:v>0.20310504216318451</c:v>
                </c:pt>
                <c:pt idx="104">
                  <c:v>0.20360686717491297</c:v>
                </c:pt>
                <c:pt idx="105">
                  <c:v>0.20368022950410397</c:v>
                </c:pt>
                <c:pt idx="106">
                  <c:v>0.20468305208303983</c:v>
                </c:pt>
                <c:pt idx="107">
                  <c:v>0.20542178166516106</c:v>
                </c:pt>
                <c:pt idx="108">
                  <c:v>0.20518757111550562</c:v>
                </c:pt>
                <c:pt idx="109">
                  <c:v>0.2045314502042733</c:v>
                </c:pt>
                <c:pt idx="110">
                  <c:v>0.20406829609403615</c:v>
                </c:pt>
                <c:pt idx="111">
                  <c:v>0.20411035269526662</c:v>
                </c:pt>
                <c:pt idx="112">
                  <c:v>0.20574860139040427</c:v>
                </c:pt>
                <c:pt idx="113">
                  <c:v>0.20739578230706995</c:v>
                </c:pt>
                <c:pt idx="114">
                  <c:v>0.20903454923317444</c:v>
                </c:pt>
                <c:pt idx="115">
                  <c:v>0.2100679007711293</c:v>
                </c:pt>
                <c:pt idx="116">
                  <c:v>0.2110430037706926</c:v>
                </c:pt>
                <c:pt idx="117">
                  <c:v>0.21166259776845942</c:v>
                </c:pt>
                <c:pt idx="118">
                  <c:v>0.21302732872064442</c:v>
                </c:pt>
                <c:pt idx="119">
                  <c:v>0.21421932506277169</c:v>
                </c:pt>
                <c:pt idx="120">
                  <c:v>0.21470230412645772</c:v>
                </c:pt>
                <c:pt idx="121">
                  <c:v>0.21633869899022176</c:v>
                </c:pt>
                <c:pt idx="122">
                  <c:v>0.21788884521088842</c:v>
                </c:pt>
                <c:pt idx="123">
                  <c:v>0.21849315625975013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17-D944-B09E-5320EB255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0046640"/>
        <c:axId val="450618864"/>
      </c:lineChart>
      <c:catAx>
        <c:axId val="867112432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479264"/>
        <c:crosses val="autoZero"/>
        <c:auto val="0"/>
        <c:lblAlgn val="ctr"/>
        <c:lblOffset val="100"/>
        <c:tickLblSkip val="4"/>
        <c:noMultiLvlLbl val="0"/>
      </c:catAx>
      <c:valAx>
        <c:axId val="46147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Employment</a:t>
                </a:r>
                <a:r>
                  <a:rPr lang="en-US" baseline="0"/>
                  <a:t> Rate (15-64),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12432"/>
        <c:crossesAt val="1"/>
        <c:crossBetween val="midCat"/>
      </c:valAx>
      <c:valAx>
        <c:axId val="450618864"/>
        <c:scaling>
          <c:orientation val="minMax"/>
        </c:scaling>
        <c:delete val="0"/>
        <c:axPos val="r"/>
        <c:numFmt formatCode="0.0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046640"/>
        <c:crosses val="max"/>
        <c:crossBetween val="between"/>
      </c:valAx>
      <c:dateAx>
        <c:axId val="450046640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45061886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Share of 55-64 in the Labor Force, % Line Fit  Plot</a:t>
            </a:r>
          </a:p>
        </c:rich>
      </c:tx>
      <c:layout>
        <c:manualLayout>
          <c:xMode val="edge"/>
          <c:yMode val="edge"/>
          <c:x val="0.190947492819942"/>
          <c:y val="6.4392595662384311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Unit Labor Cost, %</c:v>
          </c:tx>
          <c:spPr>
            <a:ln w="19050">
              <a:noFill/>
            </a:ln>
          </c:spPr>
          <c:xVal>
            <c:numRef>
              <c:f>DATA!$U$2:$U$120</c:f>
              <c:numCache>
                <c:formatCode>0.0000%</c:formatCode>
                <c:ptCount val="119"/>
                <c:pt idx="0">
                  <c:v>0.17445860872792679</c:v>
                </c:pt>
                <c:pt idx="1">
                  <c:v>0.17426288822202271</c:v>
                </c:pt>
                <c:pt idx="2">
                  <c:v>0.17417612620029896</c:v>
                </c:pt>
                <c:pt idx="3">
                  <c:v>0.17475276919217606</c:v>
                </c:pt>
                <c:pt idx="4">
                  <c:v>0.17539428903509185</c:v>
                </c:pt>
                <c:pt idx="5">
                  <c:v>0.17600520434304082</c:v>
                </c:pt>
                <c:pt idx="6">
                  <c:v>0.17653979470516415</c:v>
                </c:pt>
                <c:pt idx="7">
                  <c:v>0.17698774994358141</c:v>
                </c:pt>
                <c:pt idx="8">
                  <c:v>0.17769335008065551</c:v>
                </c:pt>
                <c:pt idx="9">
                  <c:v>0.17863209829840238</c:v>
                </c:pt>
                <c:pt idx="10">
                  <c:v>0.179754953291766</c:v>
                </c:pt>
                <c:pt idx="11">
                  <c:v>0.18108285474605013</c:v>
                </c:pt>
                <c:pt idx="12">
                  <c:v>0.18261638504949118</c:v>
                </c:pt>
                <c:pt idx="13">
                  <c:v>0.18327790571617938</c:v>
                </c:pt>
                <c:pt idx="14">
                  <c:v>0.18429004968567322</c:v>
                </c:pt>
                <c:pt idx="15">
                  <c:v>0.18460561702633396</c:v>
                </c:pt>
                <c:pt idx="16">
                  <c:v>0.18506626712656166</c:v>
                </c:pt>
                <c:pt idx="17">
                  <c:v>0.18557307947491761</c:v>
                </c:pt>
                <c:pt idx="18">
                  <c:v>0.18670985239119356</c:v>
                </c:pt>
                <c:pt idx="19">
                  <c:v>0.18753686269252887</c:v>
                </c:pt>
                <c:pt idx="20">
                  <c:v>0.18852981290919624</c:v>
                </c:pt>
                <c:pt idx="21">
                  <c:v>0.18996616784444137</c:v>
                </c:pt>
                <c:pt idx="22">
                  <c:v>0.19058682014935846</c:v>
                </c:pt>
                <c:pt idx="23">
                  <c:v>0.19091209843783288</c:v>
                </c:pt>
                <c:pt idx="24">
                  <c:v>0.19009410685166758</c:v>
                </c:pt>
                <c:pt idx="25">
                  <c:v>0.19034025806269603</c:v>
                </c:pt>
                <c:pt idx="26">
                  <c:v>0.18997532302436607</c:v>
                </c:pt>
                <c:pt idx="27">
                  <c:v>0.1890900753971769</c:v>
                </c:pt>
                <c:pt idx="28">
                  <c:v>0.18725473828702865</c:v>
                </c:pt>
                <c:pt idx="29">
                  <c:v>0.18669543258813817</c:v>
                </c:pt>
                <c:pt idx="30">
                  <c:v>0.18716242410530848</c:v>
                </c:pt>
                <c:pt idx="31">
                  <c:v>0.18838918141068214</c:v>
                </c:pt>
                <c:pt idx="32">
                  <c:v>0.19085413992675135</c:v>
                </c:pt>
                <c:pt idx="33">
                  <c:v>0.19275832726908698</c:v>
                </c:pt>
                <c:pt idx="34">
                  <c:v>0.19495920110472004</c:v>
                </c:pt>
                <c:pt idx="35">
                  <c:v>0.19680949047636592</c:v>
                </c:pt>
                <c:pt idx="36">
                  <c:v>0.19915791273872219</c:v>
                </c:pt>
                <c:pt idx="37">
                  <c:v>0.20156817050250989</c:v>
                </c:pt>
                <c:pt idx="38">
                  <c:v>0.20387456665305723</c:v>
                </c:pt>
                <c:pt idx="39">
                  <c:v>0.20654021338697542</c:v>
                </c:pt>
                <c:pt idx="40">
                  <c:v>0.2090362004018391</c:v>
                </c:pt>
                <c:pt idx="41">
                  <c:v>0.2119394139912342</c:v>
                </c:pt>
                <c:pt idx="42">
                  <c:v>0.21438398616541815</c:v>
                </c:pt>
                <c:pt idx="43">
                  <c:v>0.21690058351243016</c:v>
                </c:pt>
                <c:pt idx="44">
                  <c:v>0.21818116995621128</c:v>
                </c:pt>
                <c:pt idx="45">
                  <c:v>0.21970489713729649</c:v>
                </c:pt>
                <c:pt idx="46">
                  <c:v>0.22099732374514666</c:v>
                </c:pt>
                <c:pt idx="47">
                  <c:v>0.22254885485928252</c:v>
                </c:pt>
                <c:pt idx="48">
                  <c:v>0.22313275106732602</c:v>
                </c:pt>
                <c:pt idx="49">
                  <c:v>0.22388377019012182</c:v>
                </c:pt>
                <c:pt idx="50">
                  <c:v>0.22443322374850239</c:v>
                </c:pt>
                <c:pt idx="51">
                  <c:v>0.22526411453357195</c:v>
                </c:pt>
                <c:pt idx="52">
                  <c:v>0.22689149266586392</c:v>
                </c:pt>
                <c:pt idx="53">
                  <c:v>0.22727730346850877</c:v>
                </c:pt>
                <c:pt idx="54">
                  <c:v>0.22794377881304542</c:v>
                </c:pt>
                <c:pt idx="55">
                  <c:v>0.22860873687057195</c:v>
                </c:pt>
                <c:pt idx="56">
                  <c:v>0.2280790297311264</c:v>
                </c:pt>
                <c:pt idx="57">
                  <c:v>0.22862600307840261</c:v>
                </c:pt>
                <c:pt idx="58">
                  <c:v>0.22886688637413502</c:v>
                </c:pt>
                <c:pt idx="59">
                  <c:v>0.22844430585300701</c:v>
                </c:pt>
                <c:pt idx="60">
                  <c:v>0.2278200111923587</c:v>
                </c:pt>
                <c:pt idx="61">
                  <c:v>0.22779782182794014</c:v>
                </c:pt>
                <c:pt idx="62">
                  <c:v>0.22808916381789041</c:v>
                </c:pt>
                <c:pt idx="63">
                  <c:v>0.22819141371478283</c:v>
                </c:pt>
                <c:pt idx="64">
                  <c:v>0.22867060263854985</c:v>
                </c:pt>
                <c:pt idx="65">
                  <c:v>0.22934773409932457</c:v>
                </c:pt>
                <c:pt idx="66">
                  <c:v>0.23034901038022887</c:v>
                </c:pt>
                <c:pt idx="67">
                  <c:v>0.23066592620384299</c:v>
                </c:pt>
                <c:pt idx="68">
                  <c:v>0.23126635958159927</c:v>
                </c:pt>
                <c:pt idx="69">
                  <c:v>0.23192862237499567</c:v>
                </c:pt>
                <c:pt idx="70">
                  <c:v>0.23215801565794408</c:v>
                </c:pt>
                <c:pt idx="71">
                  <c:v>0.23162832642275469</c:v>
                </c:pt>
                <c:pt idx="72">
                  <c:v>0.23127878350132763</c:v>
                </c:pt>
                <c:pt idx="73">
                  <c:v>0.22956135102630576</c:v>
                </c:pt>
                <c:pt idx="74">
                  <c:v>0.22763878792794809</c:v>
                </c:pt>
                <c:pt idx="75">
                  <c:v>0.22601622314700934</c:v>
                </c:pt>
                <c:pt idx="76">
                  <c:v>0.22415455204735457</c:v>
                </c:pt>
                <c:pt idx="77">
                  <c:v>0.2222537416998534</c:v>
                </c:pt>
                <c:pt idx="78">
                  <c:v>0.22113510236322842</c:v>
                </c:pt>
                <c:pt idx="79">
                  <c:v>0.21939460661972437</c:v>
                </c:pt>
                <c:pt idx="80">
                  <c:v>0.2176605359957961</c:v>
                </c:pt>
                <c:pt idx="81">
                  <c:v>0.21690286296962666</c:v>
                </c:pt>
                <c:pt idx="82">
                  <c:v>0.21447676090480397</c:v>
                </c:pt>
                <c:pt idx="83">
                  <c:v>0.21271035512773273</c:v>
                </c:pt>
                <c:pt idx="84">
                  <c:v>0.21154928596487607</c:v>
                </c:pt>
                <c:pt idx="85">
                  <c:v>0.21053391482387249</c:v>
                </c:pt>
                <c:pt idx="86">
                  <c:v>0.20925463147469719</c:v>
                </c:pt>
                <c:pt idx="87">
                  <c:v>0.20816023636693684</c:v>
                </c:pt>
                <c:pt idx="88">
                  <c:v>0.20673676369955549</c:v>
                </c:pt>
                <c:pt idx="89">
                  <c:v>0.20610645738940234</c:v>
                </c:pt>
                <c:pt idx="90">
                  <c:v>0.20513525493328205</c:v>
                </c:pt>
                <c:pt idx="91">
                  <c:v>0.20451730104032828</c:v>
                </c:pt>
                <c:pt idx="92">
                  <c:v>0.20389736994884605</c:v>
                </c:pt>
                <c:pt idx="93">
                  <c:v>0.20306290082363335</c:v>
                </c:pt>
                <c:pt idx="94">
                  <c:v>0.20266763541002217</c:v>
                </c:pt>
                <c:pt idx="95">
                  <c:v>0.20231436720136967</c:v>
                </c:pt>
                <c:pt idx="96">
                  <c:v>0.20203178412376097</c:v>
                </c:pt>
                <c:pt idx="97">
                  <c:v>0.2020437837538972</c:v>
                </c:pt>
                <c:pt idx="98">
                  <c:v>0.20182983882100738</c:v>
                </c:pt>
                <c:pt idx="99">
                  <c:v>0.20184626142200804</c:v>
                </c:pt>
                <c:pt idx="100">
                  <c:v>0.20205450188546059</c:v>
                </c:pt>
                <c:pt idx="101">
                  <c:v>0.20213234718686954</c:v>
                </c:pt>
                <c:pt idx="102">
                  <c:v>0.20214587571454473</c:v>
                </c:pt>
                <c:pt idx="103">
                  <c:v>0.20310504216318451</c:v>
                </c:pt>
                <c:pt idx="104">
                  <c:v>0.20360686717491297</c:v>
                </c:pt>
                <c:pt idx="105">
                  <c:v>0.20368022950410397</c:v>
                </c:pt>
                <c:pt idx="106">
                  <c:v>0.20468305208303983</c:v>
                </c:pt>
                <c:pt idx="107">
                  <c:v>0.20542178166516106</c:v>
                </c:pt>
                <c:pt idx="108">
                  <c:v>0.20518757111550562</c:v>
                </c:pt>
                <c:pt idx="109">
                  <c:v>0.2045314502042733</c:v>
                </c:pt>
                <c:pt idx="110">
                  <c:v>0.20406829609403615</c:v>
                </c:pt>
                <c:pt idx="111">
                  <c:v>0.20411035269526662</c:v>
                </c:pt>
                <c:pt idx="112">
                  <c:v>0.20574860139040427</c:v>
                </c:pt>
                <c:pt idx="113">
                  <c:v>0.20739578230706995</c:v>
                </c:pt>
                <c:pt idx="114">
                  <c:v>0.20903454923317444</c:v>
                </c:pt>
                <c:pt idx="115">
                  <c:v>0.2100679007711293</c:v>
                </c:pt>
                <c:pt idx="116">
                  <c:v>0.2110430037706926</c:v>
                </c:pt>
                <c:pt idx="117">
                  <c:v>0.21166259776845942</c:v>
                </c:pt>
                <c:pt idx="118">
                  <c:v>0.21302732872064442</c:v>
                </c:pt>
              </c:numCache>
            </c:numRef>
          </c:xVal>
          <c:yVal>
            <c:numRef>
              <c:f>DATA!$V$2:$V$120</c:f>
              <c:numCache>
                <c:formatCode>0.0000%</c:formatCode>
                <c:ptCount val="119"/>
                <c:pt idx="0">
                  <c:v>0.82283396921590191</c:v>
                </c:pt>
                <c:pt idx="1">
                  <c:v>0.81646766514253599</c:v>
                </c:pt>
                <c:pt idx="2">
                  <c:v>0.82878423258490197</c:v>
                </c:pt>
                <c:pt idx="3">
                  <c:v>0.82484106053013306</c:v>
                </c:pt>
                <c:pt idx="4">
                  <c:v>0.83288524372322403</c:v>
                </c:pt>
                <c:pt idx="5">
                  <c:v>0.84124656613778592</c:v>
                </c:pt>
                <c:pt idx="6">
                  <c:v>0.849269545957825</c:v>
                </c:pt>
                <c:pt idx="7">
                  <c:v>0.85385936401901208</c:v>
                </c:pt>
                <c:pt idx="8">
                  <c:v>0.86045192687666305</c:v>
                </c:pt>
                <c:pt idx="9">
                  <c:v>0.86825194837236597</c:v>
                </c:pt>
                <c:pt idx="10">
                  <c:v>0.86440770445164505</c:v>
                </c:pt>
                <c:pt idx="11">
                  <c:v>0.87498255802396996</c:v>
                </c:pt>
                <c:pt idx="12">
                  <c:v>0.87113738892745407</c:v>
                </c:pt>
                <c:pt idx="13">
                  <c:v>0.86239227989246703</c:v>
                </c:pt>
                <c:pt idx="14">
                  <c:v>0.86514649254187204</c:v>
                </c:pt>
                <c:pt idx="15">
                  <c:v>0.86689703270321994</c:v>
                </c:pt>
                <c:pt idx="16">
                  <c:v>0.856501749851455</c:v>
                </c:pt>
                <c:pt idx="17">
                  <c:v>0.85585732731279196</c:v>
                </c:pt>
                <c:pt idx="18">
                  <c:v>0.86021850226318508</c:v>
                </c:pt>
                <c:pt idx="19">
                  <c:v>0.86989477218143607</c:v>
                </c:pt>
                <c:pt idx="20">
                  <c:v>0.86035971530948696</c:v>
                </c:pt>
                <c:pt idx="21">
                  <c:v>0.86432462185674697</c:v>
                </c:pt>
                <c:pt idx="22">
                  <c:v>0.86813605297110696</c:v>
                </c:pt>
                <c:pt idx="23">
                  <c:v>0.86884078088575389</c:v>
                </c:pt>
                <c:pt idx="24">
                  <c:v>0.88776799161460007</c:v>
                </c:pt>
                <c:pt idx="25">
                  <c:v>0.89074066615782799</c:v>
                </c:pt>
                <c:pt idx="26">
                  <c:v>0.89064002901849093</c:v>
                </c:pt>
                <c:pt idx="27">
                  <c:v>0.89538688520085197</c:v>
                </c:pt>
                <c:pt idx="28">
                  <c:v>0.90388882339030596</c:v>
                </c:pt>
                <c:pt idx="29">
                  <c:v>0.90263316185593789</c:v>
                </c:pt>
                <c:pt idx="30">
                  <c:v>0.89688609926335905</c:v>
                </c:pt>
                <c:pt idx="31">
                  <c:v>0.89415863580673105</c:v>
                </c:pt>
                <c:pt idx="32">
                  <c:v>0.89898911284213001</c:v>
                </c:pt>
                <c:pt idx="33">
                  <c:v>0.91257557543907397</c:v>
                </c:pt>
                <c:pt idx="34">
                  <c:v>0.91476790179604395</c:v>
                </c:pt>
                <c:pt idx="35">
                  <c:v>0.91771686823360199</c:v>
                </c:pt>
                <c:pt idx="36">
                  <c:v>0.91969570313708204</c:v>
                </c:pt>
                <c:pt idx="37">
                  <c:v>0.92435516304480603</c:v>
                </c:pt>
                <c:pt idx="38">
                  <c:v>0.92772915162583003</c:v>
                </c:pt>
                <c:pt idx="39">
                  <c:v>0.937952704431535</c:v>
                </c:pt>
                <c:pt idx="40">
                  <c:v>0.94338485793318594</c:v>
                </c:pt>
                <c:pt idx="41">
                  <c:v>0.94284202531263706</c:v>
                </c:pt>
                <c:pt idx="42">
                  <c:v>0.94815992150721007</c:v>
                </c:pt>
                <c:pt idx="43">
                  <c:v>0.94766934037890904</c:v>
                </c:pt>
                <c:pt idx="44">
                  <c:v>0.950607130940333</c:v>
                </c:pt>
                <c:pt idx="45">
                  <c:v>0.95547474635966789</c:v>
                </c:pt>
                <c:pt idx="46">
                  <c:v>0.96206450227964302</c:v>
                </c:pt>
                <c:pt idx="47">
                  <c:v>0.96635071990589594</c:v>
                </c:pt>
                <c:pt idx="48">
                  <c:v>0.96525122652286899</c:v>
                </c:pt>
                <c:pt idx="49">
                  <c:v>0.96712051518675901</c:v>
                </c:pt>
                <c:pt idx="50">
                  <c:v>0.96152339865274894</c:v>
                </c:pt>
                <c:pt idx="51">
                  <c:v>0.97221525745655701</c:v>
                </c:pt>
                <c:pt idx="52">
                  <c:v>0.97945699437300604</c:v>
                </c:pt>
                <c:pt idx="53">
                  <c:v>0.97474657793359898</c:v>
                </c:pt>
                <c:pt idx="54">
                  <c:v>0.97152510153660099</c:v>
                </c:pt>
                <c:pt idx="55">
                  <c:v>0.97392377731354396</c:v>
                </c:pt>
                <c:pt idx="56">
                  <c:v>0.98100362797824903</c:v>
                </c:pt>
                <c:pt idx="57">
                  <c:v>0.97357586885817293</c:v>
                </c:pt>
                <c:pt idx="58">
                  <c:v>0.96556918336369091</c:v>
                </c:pt>
                <c:pt idx="59">
                  <c:v>0.94175943494850201</c:v>
                </c:pt>
                <c:pt idx="60">
                  <c:v>0.90105221822054105</c:v>
                </c:pt>
                <c:pt idx="61">
                  <c:v>0.92705855384604208</c:v>
                </c:pt>
                <c:pt idx="62">
                  <c:v>0.92823489392970404</c:v>
                </c:pt>
                <c:pt idx="63">
                  <c:v>0.94128908632976405</c:v>
                </c:pt>
                <c:pt idx="64">
                  <c:v>0.94893000804712002</c:v>
                </c:pt>
                <c:pt idx="65">
                  <c:v>0.96329738326370307</c:v>
                </c:pt>
                <c:pt idx="66">
                  <c:v>0.97690908783544694</c:v>
                </c:pt>
                <c:pt idx="67">
                  <c:v>0.97017039288981588</c:v>
                </c:pt>
                <c:pt idx="68">
                  <c:v>0.95804732853499208</c:v>
                </c:pt>
                <c:pt idx="69">
                  <c:v>0.95399922945682103</c:v>
                </c:pt>
                <c:pt idx="70">
                  <c:v>0.97733476483585402</c:v>
                </c:pt>
                <c:pt idx="71">
                  <c:v>0.97449924998386195</c:v>
                </c:pt>
                <c:pt idx="72">
                  <c:v>0.99043416996786604</c:v>
                </c:pt>
                <c:pt idx="73">
                  <c:v>0.98205446206393698</c:v>
                </c:pt>
                <c:pt idx="74">
                  <c:v>0.97696202987814607</c:v>
                </c:pt>
                <c:pt idx="75">
                  <c:v>0.975972460134095</c:v>
                </c:pt>
                <c:pt idx="76">
                  <c:v>0.98632257165838</c:v>
                </c:pt>
                <c:pt idx="77">
                  <c:v>0.99299425655898998</c:v>
                </c:pt>
                <c:pt idx="78">
                  <c:v>1.0015262953239101</c:v>
                </c:pt>
                <c:pt idx="79">
                  <c:v>0.99504777418453405</c:v>
                </c:pt>
                <c:pt idx="80">
                  <c:v>1.0040279345052601</c:v>
                </c:pt>
                <c:pt idx="81">
                  <c:v>0.98302184186630404</c:v>
                </c:pt>
                <c:pt idx="82">
                  <c:v>0.98315540079618802</c:v>
                </c:pt>
                <c:pt idx="83">
                  <c:v>0.98618553760830097</c:v>
                </c:pt>
                <c:pt idx="84">
                  <c:v>1.00037444574767</c:v>
                </c:pt>
                <c:pt idx="85">
                  <c:v>1.0019338233639501</c:v>
                </c:pt>
                <c:pt idx="86">
                  <c:v>1.00088595183964</c:v>
                </c:pt>
                <c:pt idx="87">
                  <c:v>0.99680577904873702</c:v>
                </c:pt>
                <c:pt idx="88">
                  <c:v>1.00091531903244</c:v>
                </c:pt>
                <c:pt idx="89">
                  <c:v>0.99746386934648901</c:v>
                </c:pt>
                <c:pt idx="90">
                  <c:v>0.99404272678244798</c:v>
                </c:pt>
                <c:pt idx="91">
                  <c:v>0.993929953849498</c:v>
                </c:pt>
                <c:pt idx="92">
                  <c:v>1.00165149292995</c:v>
                </c:pt>
                <c:pt idx="93">
                  <c:v>1.0002967052815301</c:v>
                </c:pt>
                <c:pt idx="94">
                  <c:v>1.00332998597806</c:v>
                </c:pt>
                <c:pt idx="95">
                  <c:v>1.0044605436613401</c:v>
                </c:pt>
                <c:pt idx="96">
                  <c:v>0.993178197117078</c:v>
                </c:pt>
                <c:pt idx="97">
                  <c:v>0.99122471888354691</c:v>
                </c:pt>
                <c:pt idx="98">
                  <c:v>0.9859842281120289</c:v>
                </c:pt>
                <c:pt idx="99">
                  <c:v>0.98045035905110689</c:v>
                </c:pt>
                <c:pt idx="100">
                  <c:v>0.98104954886945195</c:v>
                </c:pt>
                <c:pt idx="101">
                  <c:v>0.98261441567174901</c:v>
                </c:pt>
                <c:pt idx="102">
                  <c:v>0.98171736112766994</c:v>
                </c:pt>
                <c:pt idx="103">
                  <c:v>0.95069451817261297</c:v>
                </c:pt>
                <c:pt idx="104">
                  <c:v>0.95794996330079496</c:v>
                </c:pt>
                <c:pt idx="105">
                  <c:v>0.89643749655903404</c:v>
                </c:pt>
                <c:pt idx="106">
                  <c:v>0.94381212734008002</c:v>
                </c:pt>
                <c:pt idx="107">
                  <c:v>0.95560972969858193</c:v>
                </c:pt>
                <c:pt idx="108">
                  <c:v>0.95693728843344605</c:v>
                </c:pt>
                <c:pt idx="109">
                  <c:v>0.96428348502626204</c:v>
                </c:pt>
                <c:pt idx="110">
                  <c:v>0.95853186032711202</c:v>
                </c:pt>
                <c:pt idx="111">
                  <c:v>0.97261759328058306</c:v>
                </c:pt>
                <c:pt idx="112">
                  <c:v>0.96489274089051602</c:v>
                </c:pt>
                <c:pt idx="113">
                  <c:v>0.97247899157151807</c:v>
                </c:pt>
                <c:pt idx="114">
                  <c:v>0.970871748005666</c:v>
                </c:pt>
                <c:pt idx="115">
                  <c:v>0.97429337219414291</c:v>
                </c:pt>
                <c:pt idx="116">
                  <c:v>0.98551901269603204</c:v>
                </c:pt>
                <c:pt idx="117">
                  <c:v>0.99193562510692701</c:v>
                </c:pt>
                <c:pt idx="118">
                  <c:v>0.98392953735977007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DF9-4440-BE1F-061F3A03C8DD}"/>
            </c:ext>
          </c:extLst>
        </c:ser>
        <c:ser>
          <c:idx val="1"/>
          <c:order val="1"/>
          <c:tx>
            <c:v>Predicted Unit Labor Cost, %</c:v>
          </c:tx>
          <c:spPr>
            <a:ln w="19050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0.36608401698478787"/>
                  <c:y val="-5.5146290924160797E-2"/>
                </c:manualLayout>
              </c:layout>
              <c:numFmt formatCode="General" sourceLinked="0"/>
            </c:trendlineLbl>
          </c:trendline>
          <c:xVal>
            <c:numRef>
              <c:f>DATA!$U$2:$U$120</c:f>
              <c:numCache>
                <c:formatCode>0.0000%</c:formatCode>
                <c:ptCount val="119"/>
                <c:pt idx="0">
                  <c:v>0.17445860872792679</c:v>
                </c:pt>
                <c:pt idx="1">
                  <c:v>0.17426288822202271</c:v>
                </c:pt>
                <c:pt idx="2">
                  <c:v>0.17417612620029896</c:v>
                </c:pt>
                <c:pt idx="3">
                  <c:v>0.17475276919217606</c:v>
                </c:pt>
                <c:pt idx="4">
                  <c:v>0.17539428903509185</c:v>
                </c:pt>
                <c:pt idx="5">
                  <c:v>0.17600520434304082</c:v>
                </c:pt>
                <c:pt idx="6">
                  <c:v>0.17653979470516415</c:v>
                </c:pt>
                <c:pt idx="7">
                  <c:v>0.17698774994358141</c:v>
                </c:pt>
                <c:pt idx="8">
                  <c:v>0.17769335008065551</c:v>
                </c:pt>
                <c:pt idx="9">
                  <c:v>0.17863209829840238</c:v>
                </c:pt>
                <c:pt idx="10">
                  <c:v>0.179754953291766</c:v>
                </c:pt>
                <c:pt idx="11">
                  <c:v>0.18108285474605013</c:v>
                </c:pt>
                <c:pt idx="12">
                  <c:v>0.18261638504949118</c:v>
                </c:pt>
                <c:pt idx="13">
                  <c:v>0.18327790571617938</c:v>
                </c:pt>
                <c:pt idx="14">
                  <c:v>0.18429004968567322</c:v>
                </c:pt>
                <c:pt idx="15">
                  <c:v>0.18460561702633396</c:v>
                </c:pt>
                <c:pt idx="16">
                  <c:v>0.18506626712656166</c:v>
                </c:pt>
                <c:pt idx="17">
                  <c:v>0.18557307947491761</c:v>
                </c:pt>
                <c:pt idx="18">
                  <c:v>0.18670985239119356</c:v>
                </c:pt>
                <c:pt idx="19">
                  <c:v>0.18753686269252887</c:v>
                </c:pt>
                <c:pt idx="20">
                  <c:v>0.18852981290919624</c:v>
                </c:pt>
                <c:pt idx="21">
                  <c:v>0.18996616784444137</c:v>
                </c:pt>
                <c:pt idx="22">
                  <c:v>0.19058682014935846</c:v>
                </c:pt>
                <c:pt idx="23">
                  <c:v>0.19091209843783288</c:v>
                </c:pt>
                <c:pt idx="24">
                  <c:v>0.19009410685166758</c:v>
                </c:pt>
                <c:pt idx="25">
                  <c:v>0.19034025806269603</c:v>
                </c:pt>
                <c:pt idx="26">
                  <c:v>0.18997532302436607</c:v>
                </c:pt>
                <c:pt idx="27">
                  <c:v>0.1890900753971769</c:v>
                </c:pt>
                <c:pt idx="28">
                  <c:v>0.18725473828702865</c:v>
                </c:pt>
                <c:pt idx="29">
                  <c:v>0.18669543258813817</c:v>
                </c:pt>
                <c:pt idx="30">
                  <c:v>0.18716242410530848</c:v>
                </c:pt>
                <c:pt idx="31">
                  <c:v>0.18838918141068214</c:v>
                </c:pt>
                <c:pt idx="32">
                  <c:v>0.19085413992675135</c:v>
                </c:pt>
                <c:pt idx="33">
                  <c:v>0.19275832726908698</c:v>
                </c:pt>
                <c:pt idx="34">
                  <c:v>0.19495920110472004</c:v>
                </c:pt>
                <c:pt idx="35">
                  <c:v>0.19680949047636592</c:v>
                </c:pt>
                <c:pt idx="36">
                  <c:v>0.19915791273872219</c:v>
                </c:pt>
                <c:pt idx="37">
                  <c:v>0.20156817050250989</c:v>
                </c:pt>
                <c:pt idx="38">
                  <c:v>0.20387456665305723</c:v>
                </c:pt>
                <c:pt idx="39">
                  <c:v>0.20654021338697542</c:v>
                </c:pt>
                <c:pt idx="40">
                  <c:v>0.2090362004018391</c:v>
                </c:pt>
                <c:pt idx="41">
                  <c:v>0.2119394139912342</c:v>
                </c:pt>
                <c:pt idx="42">
                  <c:v>0.21438398616541815</c:v>
                </c:pt>
                <c:pt idx="43">
                  <c:v>0.21690058351243016</c:v>
                </c:pt>
                <c:pt idx="44">
                  <c:v>0.21818116995621128</c:v>
                </c:pt>
                <c:pt idx="45">
                  <c:v>0.21970489713729649</c:v>
                </c:pt>
                <c:pt idx="46">
                  <c:v>0.22099732374514666</c:v>
                </c:pt>
                <c:pt idx="47">
                  <c:v>0.22254885485928252</c:v>
                </c:pt>
                <c:pt idx="48">
                  <c:v>0.22313275106732602</c:v>
                </c:pt>
                <c:pt idx="49">
                  <c:v>0.22388377019012182</c:v>
                </c:pt>
                <c:pt idx="50">
                  <c:v>0.22443322374850239</c:v>
                </c:pt>
                <c:pt idx="51">
                  <c:v>0.22526411453357195</c:v>
                </c:pt>
                <c:pt idx="52">
                  <c:v>0.22689149266586392</c:v>
                </c:pt>
                <c:pt idx="53">
                  <c:v>0.22727730346850877</c:v>
                </c:pt>
                <c:pt idx="54">
                  <c:v>0.22794377881304542</c:v>
                </c:pt>
                <c:pt idx="55">
                  <c:v>0.22860873687057195</c:v>
                </c:pt>
                <c:pt idx="56">
                  <c:v>0.2280790297311264</c:v>
                </c:pt>
                <c:pt idx="57">
                  <c:v>0.22862600307840261</c:v>
                </c:pt>
                <c:pt idx="58">
                  <c:v>0.22886688637413502</c:v>
                </c:pt>
                <c:pt idx="59">
                  <c:v>0.22844430585300701</c:v>
                </c:pt>
                <c:pt idx="60">
                  <c:v>0.2278200111923587</c:v>
                </c:pt>
                <c:pt idx="61">
                  <c:v>0.22779782182794014</c:v>
                </c:pt>
                <c:pt idx="62">
                  <c:v>0.22808916381789041</c:v>
                </c:pt>
                <c:pt idx="63">
                  <c:v>0.22819141371478283</c:v>
                </c:pt>
                <c:pt idx="64">
                  <c:v>0.22867060263854985</c:v>
                </c:pt>
                <c:pt idx="65">
                  <c:v>0.22934773409932457</c:v>
                </c:pt>
                <c:pt idx="66">
                  <c:v>0.23034901038022887</c:v>
                </c:pt>
                <c:pt idx="67">
                  <c:v>0.23066592620384299</c:v>
                </c:pt>
                <c:pt idx="68">
                  <c:v>0.23126635958159927</c:v>
                </c:pt>
                <c:pt idx="69">
                  <c:v>0.23192862237499567</c:v>
                </c:pt>
                <c:pt idx="70">
                  <c:v>0.23215801565794408</c:v>
                </c:pt>
                <c:pt idx="71">
                  <c:v>0.23162832642275469</c:v>
                </c:pt>
                <c:pt idx="72">
                  <c:v>0.23127878350132763</c:v>
                </c:pt>
                <c:pt idx="73">
                  <c:v>0.22956135102630576</c:v>
                </c:pt>
                <c:pt idx="74">
                  <c:v>0.22763878792794809</c:v>
                </c:pt>
                <c:pt idx="75">
                  <c:v>0.22601622314700934</c:v>
                </c:pt>
                <c:pt idx="76">
                  <c:v>0.22415455204735457</c:v>
                </c:pt>
                <c:pt idx="77">
                  <c:v>0.2222537416998534</c:v>
                </c:pt>
                <c:pt idx="78">
                  <c:v>0.22113510236322842</c:v>
                </c:pt>
                <c:pt idx="79">
                  <c:v>0.21939460661972437</c:v>
                </c:pt>
                <c:pt idx="80">
                  <c:v>0.2176605359957961</c:v>
                </c:pt>
                <c:pt idx="81">
                  <c:v>0.21690286296962666</c:v>
                </c:pt>
                <c:pt idx="82">
                  <c:v>0.21447676090480397</c:v>
                </c:pt>
                <c:pt idx="83">
                  <c:v>0.21271035512773273</c:v>
                </c:pt>
                <c:pt idx="84">
                  <c:v>0.21154928596487607</c:v>
                </c:pt>
                <c:pt idx="85">
                  <c:v>0.21053391482387249</c:v>
                </c:pt>
                <c:pt idx="86">
                  <c:v>0.20925463147469719</c:v>
                </c:pt>
                <c:pt idx="87">
                  <c:v>0.20816023636693684</c:v>
                </c:pt>
                <c:pt idx="88">
                  <c:v>0.20673676369955549</c:v>
                </c:pt>
                <c:pt idx="89">
                  <c:v>0.20610645738940234</c:v>
                </c:pt>
                <c:pt idx="90">
                  <c:v>0.20513525493328205</c:v>
                </c:pt>
                <c:pt idx="91">
                  <c:v>0.20451730104032828</c:v>
                </c:pt>
                <c:pt idx="92">
                  <c:v>0.20389736994884605</c:v>
                </c:pt>
                <c:pt idx="93">
                  <c:v>0.20306290082363335</c:v>
                </c:pt>
                <c:pt idx="94">
                  <c:v>0.20266763541002217</c:v>
                </c:pt>
                <c:pt idx="95">
                  <c:v>0.20231436720136967</c:v>
                </c:pt>
                <c:pt idx="96">
                  <c:v>0.20203178412376097</c:v>
                </c:pt>
                <c:pt idx="97">
                  <c:v>0.2020437837538972</c:v>
                </c:pt>
                <c:pt idx="98">
                  <c:v>0.20182983882100738</c:v>
                </c:pt>
                <c:pt idx="99">
                  <c:v>0.20184626142200804</c:v>
                </c:pt>
                <c:pt idx="100">
                  <c:v>0.20205450188546059</c:v>
                </c:pt>
                <c:pt idx="101">
                  <c:v>0.20213234718686954</c:v>
                </c:pt>
                <c:pt idx="102">
                  <c:v>0.20214587571454473</c:v>
                </c:pt>
                <c:pt idx="103">
                  <c:v>0.20310504216318451</c:v>
                </c:pt>
                <c:pt idx="104">
                  <c:v>0.20360686717491297</c:v>
                </c:pt>
                <c:pt idx="105">
                  <c:v>0.20368022950410397</c:v>
                </c:pt>
                <c:pt idx="106">
                  <c:v>0.20468305208303983</c:v>
                </c:pt>
                <c:pt idx="107">
                  <c:v>0.20542178166516106</c:v>
                </c:pt>
                <c:pt idx="108">
                  <c:v>0.20518757111550562</c:v>
                </c:pt>
                <c:pt idx="109">
                  <c:v>0.2045314502042733</c:v>
                </c:pt>
                <c:pt idx="110">
                  <c:v>0.20406829609403615</c:v>
                </c:pt>
                <c:pt idx="111">
                  <c:v>0.20411035269526662</c:v>
                </c:pt>
                <c:pt idx="112">
                  <c:v>0.20574860139040427</c:v>
                </c:pt>
                <c:pt idx="113">
                  <c:v>0.20739578230706995</c:v>
                </c:pt>
                <c:pt idx="114">
                  <c:v>0.20903454923317444</c:v>
                </c:pt>
                <c:pt idx="115">
                  <c:v>0.2100679007711293</c:v>
                </c:pt>
                <c:pt idx="116">
                  <c:v>0.2110430037706926</c:v>
                </c:pt>
                <c:pt idx="117">
                  <c:v>0.21166259776845942</c:v>
                </c:pt>
                <c:pt idx="118">
                  <c:v>0.21302732872064442</c:v>
                </c:pt>
              </c:numCache>
            </c:numRef>
          </c:xVal>
          <c:yVal>
            <c:numRef>
              <c:f>'Productivity &amp; ULC'!$B$25:$B$143</c:f>
              <c:numCache>
                <c:formatCode>General</c:formatCode>
                <c:ptCount val="119"/>
                <c:pt idx="0">
                  <c:v>0.86709755591339377</c:v>
                </c:pt>
                <c:pt idx="1">
                  <c:v>0.86664762600704437</c:v>
                </c:pt>
                <c:pt idx="2">
                  <c:v>0.86644817409918984</c:v>
                </c:pt>
                <c:pt idx="3">
                  <c:v>0.86777378342220779</c:v>
                </c:pt>
                <c:pt idx="4">
                  <c:v>0.86924853417206427</c:v>
                </c:pt>
                <c:pt idx="5">
                  <c:v>0.87065293002738442</c:v>
                </c:pt>
                <c:pt idx="6">
                  <c:v>0.87188186713059856</c:v>
                </c:pt>
                <c:pt idx="7">
                  <c:v>0.87291164404405364</c:v>
                </c:pt>
                <c:pt idx="8">
                  <c:v>0.87453370506483097</c:v>
                </c:pt>
                <c:pt idx="9">
                  <c:v>0.87669173595559213</c:v>
                </c:pt>
                <c:pt idx="10">
                  <c:v>0.87927299865810915</c:v>
                </c:pt>
                <c:pt idx="11">
                  <c:v>0.88232563013485366</c:v>
                </c:pt>
                <c:pt idx="12">
                  <c:v>0.88585096920254047</c:v>
                </c:pt>
                <c:pt idx="13">
                  <c:v>0.88737169862348841</c:v>
                </c:pt>
                <c:pt idx="14">
                  <c:v>0.88969845452115393</c:v>
                </c:pt>
                <c:pt idx="15">
                  <c:v>0.89042389298951741</c:v>
                </c:pt>
                <c:pt idx="16">
                  <c:v>0.89148285334473343</c:v>
                </c:pt>
                <c:pt idx="17">
                  <c:v>0.89264793327020742</c:v>
                </c:pt>
                <c:pt idx="18">
                  <c:v>0.89526119103488511</c:v>
                </c:pt>
                <c:pt idx="19">
                  <c:v>0.89716235446030601</c:v>
                </c:pt>
                <c:pt idx="20">
                  <c:v>0.89944498701294007</c:v>
                </c:pt>
                <c:pt idx="21">
                  <c:v>0.90274693556715002</c:v>
                </c:pt>
                <c:pt idx="22">
                  <c:v>0.90417371520956358</c:v>
                </c:pt>
                <c:pt idx="23">
                  <c:v>0.90492147758221186</c:v>
                </c:pt>
                <c:pt idx="24">
                  <c:v>0.90304104672976848</c:v>
                </c:pt>
                <c:pt idx="25">
                  <c:v>0.90360690870122728</c:v>
                </c:pt>
                <c:pt idx="26">
                  <c:v>0.90276798185060969</c:v>
                </c:pt>
                <c:pt idx="27">
                  <c:v>0.90073294019691419</c:v>
                </c:pt>
                <c:pt idx="28">
                  <c:v>0.89651379591116864</c:v>
                </c:pt>
                <c:pt idx="29">
                  <c:v>0.89522804223114416</c:v>
                </c:pt>
                <c:pt idx="30">
                  <c:v>0.89630158048210973</c:v>
                </c:pt>
                <c:pt idx="31">
                  <c:v>0.8991216978580101</c:v>
                </c:pt>
                <c:pt idx="32">
                  <c:v>0.90478824030417293</c:v>
                </c:pt>
                <c:pt idx="33">
                  <c:v>0.90916566017978118</c:v>
                </c:pt>
                <c:pt idx="34">
                  <c:v>0.91422511449796251</c:v>
                </c:pt>
                <c:pt idx="35">
                  <c:v>0.91847863162361176</c:v>
                </c:pt>
                <c:pt idx="36">
                  <c:v>0.92387727600014147</c:v>
                </c:pt>
                <c:pt idx="37">
                  <c:v>0.92941807023081935</c:v>
                </c:pt>
                <c:pt idx="38">
                  <c:v>0.93472010334802758</c:v>
                </c:pt>
                <c:pt idx="39">
                  <c:v>0.94084799566984667</c:v>
                </c:pt>
                <c:pt idx="40">
                  <c:v>0.9465858676350718</c:v>
                </c:pt>
                <c:pt idx="41">
                  <c:v>0.95325988787814619</c:v>
                </c:pt>
                <c:pt idx="42">
                  <c:v>0.95887956540919528</c:v>
                </c:pt>
                <c:pt idx="43">
                  <c:v>0.96466481720705721</c:v>
                </c:pt>
                <c:pt idx="44">
                  <c:v>0.9676086790985905</c:v>
                </c:pt>
                <c:pt idx="45">
                  <c:v>0.97111148236757217</c:v>
                </c:pt>
                <c:pt idx="46">
                  <c:v>0.97408256288847772</c:v>
                </c:pt>
                <c:pt idx="47">
                  <c:v>0.97764928291945541</c:v>
                </c:pt>
                <c:pt idx="48">
                  <c:v>0.97899156621771888</c:v>
                </c:pt>
                <c:pt idx="49">
                  <c:v>0.98071803816824454</c:v>
                </c:pt>
                <c:pt idx="50">
                  <c:v>0.98198114336472608</c:v>
                </c:pt>
                <c:pt idx="51">
                  <c:v>0.9838912273969842</c:v>
                </c:pt>
                <c:pt idx="52">
                  <c:v>0.98763230750136466</c:v>
                </c:pt>
                <c:pt idx="53">
                  <c:v>0.98851922437040063</c:v>
                </c:pt>
                <c:pt idx="54">
                  <c:v>0.9900513437973677</c:v>
                </c:pt>
                <c:pt idx="55">
                  <c:v>0.99157997522598129</c:v>
                </c:pt>
                <c:pt idx="56">
                  <c:v>0.99036226386486259</c:v>
                </c:pt>
                <c:pt idx="57">
                  <c:v>0.99161966745565544</c:v>
                </c:pt>
                <c:pt idx="58">
                  <c:v>0.99217341933867531</c:v>
                </c:pt>
                <c:pt idx="59">
                  <c:v>0.99120197481160388</c:v>
                </c:pt>
                <c:pt idx="60">
                  <c:v>0.98976682198026222</c:v>
                </c:pt>
                <c:pt idx="61">
                  <c:v>0.98971581220686788</c:v>
                </c:pt>
                <c:pt idx="62">
                  <c:v>0.99038556049741322</c:v>
                </c:pt>
                <c:pt idx="63">
                  <c:v>0.99062061653469735</c:v>
                </c:pt>
                <c:pt idx="64">
                  <c:v>0.99172219465804323</c:v>
                </c:pt>
                <c:pt idx="65">
                  <c:v>0.99327881077920654</c:v>
                </c:pt>
                <c:pt idx="66">
                  <c:v>0.99558058361193069</c:v>
                </c:pt>
                <c:pt idx="67">
                  <c:v>0.99630912202532107</c:v>
                </c:pt>
                <c:pt idx="68">
                  <c:v>0.99768942161209662</c:v>
                </c:pt>
                <c:pt idx="69">
                  <c:v>0.99921185706276683</c:v>
                </c:pt>
                <c:pt idx="70">
                  <c:v>0.99973919525779831</c:v>
                </c:pt>
                <c:pt idx="71">
                  <c:v>0.99852152505567959</c:v>
                </c:pt>
                <c:pt idx="72">
                  <c:v>0.99771798220166819</c:v>
                </c:pt>
                <c:pt idx="73">
                  <c:v>0.99376988167393621</c:v>
                </c:pt>
                <c:pt idx="74">
                  <c:v>0.98935021889614516</c:v>
                </c:pt>
                <c:pt idx="75">
                  <c:v>0.98562020391094363</c:v>
                </c:pt>
                <c:pt idx="76">
                  <c:v>0.98134052202655586</c:v>
                </c:pt>
                <c:pt idx="77">
                  <c:v>0.97697086531793209</c:v>
                </c:pt>
                <c:pt idx="78">
                  <c:v>0.97439929373098244</c:v>
                </c:pt>
                <c:pt idx="79">
                  <c:v>0.97039817446522747</c:v>
                </c:pt>
                <c:pt idx="80">
                  <c:v>0.96641182551408833</c:v>
                </c:pt>
                <c:pt idx="81">
                  <c:v>0.96467005731185984</c:v>
                </c:pt>
                <c:pt idx="82">
                  <c:v>0.95909283958611713</c:v>
                </c:pt>
                <c:pt idx="83">
                  <c:v>0.95503215732811175</c:v>
                </c:pt>
                <c:pt idx="84">
                  <c:v>0.95236304640743397</c:v>
                </c:pt>
                <c:pt idx="85">
                  <c:v>0.95002887176246631</c:v>
                </c:pt>
                <c:pt idx="86">
                  <c:v>0.94708800547546235</c:v>
                </c:pt>
                <c:pt idx="87">
                  <c:v>0.94457216746416539</c:v>
                </c:pt>
                <c:pt idx="88">
                  <c:v>0.94129983316803612</c:v>
                </c:pt>
                <c:pt idx="89">
                  <c:v>0.93985086052314837</c:v>
                </c:pt>
                <c:pt idx="90">
                  <c:v>0.93761822256776439</c:v>
                </c:pt>
                <c:pt idx="91">
                  <c:v>0.9361976461396555</c:v>
                </c:pt>
                <c:pt idx="92">
                  <c:v>0.93477252445071857</c:v>
                </c:pt>
                <c:pt idx="93">
                  <c:v>0.93285421439105443</c:v>
                </c:pt>
                <c:pt idx="94">
                  <c:v>0.93194556289484198</c:v>
                </c:pt>
                <c:pt idx="95">
                  <c:v>0.93113345620576005</c:v>
                </c:pt>
                <c:pt idx="96">
                  <c:v>0.93048384324335176</c:v>
                </c:pt>
                <c:pt idx="97">
                  <c:v>0.93051142845951751</c:v>
                </c:pt>
                <c:pt idx="98">
                  <c:v>0.93001960353205582</c:v>
                </c:pt>
                <c:pt idx="99">
                  <c:v>0.9300573564455592</c:v>
                </c:pt>
                <c:pt idx="100">
                  <c:v>0.93053606771695385</c:v>
                </c:pt>
                <c:pt idx="101">
                  <c:v>0.93071502152156871</c:v>
                </c:pt>
                <c:pt idx="102">
                  <c:v>0.930746121426823</c:v>
                </c:pt>
                <c:pt idx="103">
                  <c:v>0.93295109054038838</c:v>
                </c:pt>
                <c:pt idx="104">
                  <c:v>0.93410470538257251</c:v>
                </c:pt>
                <c:pt idx="105">
                  <c:v>0.93427335355640595</c:v>
                </c:pt>
                <c:pt idx="106">
                  <c:v>0.93657868107914743</c:v>
                </c:pt>
                <c:pt idx="107">
                  <c:v>0.93827690135589337</c:v>
                </c:pt>
                <c:pt idx="108">
                  <c:v>0.93773848904091528</c:v>
                </c:pt>
                <c:pt idx="109">
                  <c:v>0.93623017278769005</c:v>
                </c:pt>
                <c:pt idx="110">
                  <c:v>0.93516545611693713</c:v>
                </c:pt>
                <c:pt idx="111">
                  <c:v>0.93526213746652576</c:v>
                </c:pt>
                <c:pt idx="112">
                  <c:v>0.93902820724329916</c:v>
                </c:pt>
                <c:pt idx="113">
                  <c:v>0.94281481075810403</c:v>
                </c:pt>
                <c:pt idx="114">
                  <c:v>0.94658207186436694</c:v>
                </c:pt>
                <c:pt idx="115">
                  <c:v>0.94895758054471857</c:v>
                </c:pt>
                <c:pt idx="116">
                  <c:v>0.95119918522097802</c:v>
                </c:pt>
                <c:pt idx="117">
                  <c:v>0.95262353198577965</c:v>
                </c:pt>
                <c:pt idx="118">
                  <c:v>0.95576082854380884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DF9-4440-BE1F-061F3A03C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704224"/>
        <c:axId val="468689840"/>
      </c:scatterChart>
      <c:valAx>
        <c:axId val="467704224"/>
        <c:scaling>
          <c:orientation val="minMax"/>
          <c:min val="0.1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55-64 in the Labor Force, %</a:t>
                </a:r>
              </a:p>
            </c:rich>
          </c:tx>
          <c:overlay val="0"/>
        </c:title>
        <c:numFmt formatCode="0.0000%" sourceLinked="1"/>
        <c:majorTickMark val="out"/>
        <c:minorTickMark val="none"/>
        <c:tickLblPos val="nextTo"/>
        <c:crossAx val="468689840"/>
        <c:crosses val="autoZero"/>
        <c:crossBetween val="midCat"/>
        <c:majorUnit val="2.5000000000000001E-2"/>
      </c:valAx>
      <c:valAx>
        <c:axId val="468689840"/>
        <c:scaling>
          <c:orientation val="minMax"/>
          <c:min val="0.7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 Labor Cost, %</a:t>
                </a:r>
              </a:p>
            </c:rich>
          </c:tx>
          <c:overlay val="0"/>
        </c:title>
        <c:numFmt formatCode="0.0000%" sourceLinked="1"/>
        <c:majorTickMark val="out"/>
        <c:minorTickMark val="none"/>
        <c:tickLblPos val="nextTo"/>
        <c:crossAx val="4677042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Japan: Unit Labor Cost vs Share of Older Workers</a:t>
            </a:r>
            <a:endParaRPr lang="en-US"/>
          </a:p>
        </c:rich>
      </c:tx>
      <c:layout>
        <c:manualLayout>
          <c:xMode val="edge"/>
          <c:yMode val="edge"/>
          <c:x val="0.2527918195745894"/>
          <c:y val="3.0721966205837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DATA!$V$1</c:f>
              <c:strCache>
                <c:ptCount val="1"/>
                <c:pt idx="0">
                  <c:v>Unit Labor Cost,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DATA!$A$2:$A$125</c:f>
              <c:numCache>
                <c:formatCode>yyyy\-mm\-dd</c:formatCode>
                <c:ptCount val="124"/>
                <c:pt idx="0">
                  <c:v>34335</c:v>
                </c:pt>
                <c:pt idx="1">
                  <c:v>34425</c:v>
                </c:pt>
                <c:pt idx="2">
                  <c:v>34516</c:v>
                </c:pt>
                <c:pt idx="3">
                  <c:v>34608</c:v>
                </c:pt>
                <c:pt idx="4">
                  <c:v>34700</c:v>
                </c:pt>
                <c:pt idx="5">
                  <c:v>34790</c:v>
                </c:pt>
                <c:pt idx="6">
                  <c:v>34881</c:v>
                </c:pt>
                <c:pt idx="7">
                  <c:v>34973</c:v>
                </c:pt>
                <c:pt idx="8">
                  <c:v>35065</c:v>
                </c:pt>
                <c:pt idx="9">
                  <c:v>35156</c:v>
                </c:pt>
                <c:pt idx="10">
                  <c:v>35247</c:v>
                </c:pt>
                <c:pt idx="11">
                  <c:v>35339</c:v>
                </c:pt>
                <c:pt idx="12">
                  <c:v>35431</c:v>
                </c:pt>
                <c:pt idx="13">
                  <c:v>35521</c:v>
                </c:pt>
                <c:pt idx="14">
                  <c:v>35612</c:v>
                </c:pt>
                <c:pt idx="15">
                  <c:v>35704</c:v>
                </c:pt>
                <c:pt idx="16">
                  <c:v>35796</c:v>
                </c:pt>
                <c:pt idx="17">
                  <c:v>35886</c:v>
                </c:pt>
                <c:pt idx="18">
                  <c:v>35977</c:v>
                </c:pt>
                <c:pt idx="19">
                  <c:v>36069</c:v>
                </c:pt>
                <c:pt idx="20">
                  <c:v>36161</c:v>
                </c:pt>
                <c:pt idx="21">
                  <c:v>36251</c:v>
                </c:pt>
                <c:pt idx="22">
                  <c:v>36342</c:v>
                </c:pt>
                <c:pt idx="23">
                  <c:v>36434</c:v>
                </c:pt>
                <c:pt idx="24">
                  <c:v>36526</c:v>
                </c:pt>
                <c:pt idx="25">
                  <c:v>36617</c:v>
                </c:pt>
                <c:pt idx="26">
                  <c:v>36708</c:v>
                </c:pt>
                <c:pt idx="27">
                  <c:v>36800</c:v>
                </c:pt>
                <c:pt idx="28">
                  <c:v>36892</c:v>
                </c:pt>
                <c:pt idx="29">
                  <c:v>36982</c:v>
                </c:pt>
                <c:pt idx="30">
                  <c:v>37073</c:v>
                </c:pt>
                <c:pt idx="31">
                  <c:v>37165</c:v>
                </c:pt>
                <c:pt idx="32">
                  <c:v>37257</c:v>
                </c:pt>
                <c:pt idx="33">
                  <c:v>37347</c:v>
                </c:pt>
                <c:pt idx="34">
                  <c:v>37438</c:v>
                </c:pt>
                <c:pt idx="35">
                  <c:v>37530</c:v>
                </c:pt>
                <c:pt idx="36">
                  <c:v>37622</c:v>
                </c:pt>
                <c:pt idx="37">
                  <c:v>37712</c:v>
                </c:pt>
                <c:pt idx="38">
                  <c:v>37803</c:v>
                </c:pt>
                <c:pt idx="39">
                  <c:v>37895</c:v>
                </c:pt>
                <c:pt idx="40">
                  <c:v>37987</c:v>
                </c:pt>
                <c:pt idx="41">
                  <c:v>38078</c:v>
                </c:pt>
                <c:pt idx="42">
                  <c:v>38169</c:v>
                </c:pt>
                <c:pt idx="43">
                  <c:v>38261</c:v>
                </c:pt>
                <c:pt idx="44">
                  <c:v>38353</c:v>
                </c:pt>
                <c:pt idx="45">
                  <c:v>38443</c:v>
                </c:pt>
                <c:pt idx="46">
                  <c:v>38534</c:v>
                </c:pt>
                <c:pt idx="47">
                  <c:v>38626</c:v>
                </c:pt>
                <c:pt idx="48">
                  <c:v>38718</c:v>
                </c:pt>
                <c:pt idx="49">
                  <c:v>38808</c:v>
                </c:pt>
                <c:pt idx="50">
                  <c:v>38899</c:v>
                </c:pt>
                <c:pt idx="51">
                  <c:v>38991</c:v>
                </c:pt>
                <c:pt idx="52">
                  <c:v>39083</c:v>
                </c:pt>
                <c:pt idx="53">
                  <c:v>39173</c:v>
                </c:pt>
                <c:pt idx="54">
                  <c:v>39264</c:v>
                </c:pt>
                <c:pt idx="55">
                  <c:v>39356</c:v>
                </c:pt>
                <c:pt idx="56">
                  <c:v>39448</c:v>
                </c:pt>
                <c:pt idx="57">
                  <c:v>39539</c:v>
                </c:pt>
                <c:pt idx="58">
                  <c:v>39630</c:v>
                </c:pt>
                <c:pt idx="59">
                  <c:v>39722</c:v>
                </c:pt>
                <c:pt idx="60">
                  <c:v>39814</c:v>
                </c:pt>
                <c:pt idx="61">
                  <c:v>39904</c:v>
                </c:pt>
                <c:pt idx="62">
                  <c:v>39995</c:v>
                </c:pt>
                <c:pt idx="63">
                  <c:v>40087</c:v>
                </c:pt>
                <c:pt idx="64">
                  <c:v>40179</c:v>
                </c:pt>
                <c:pt idx="65">
                  <c:v>40269</c:v>
                </c:pt>
                <c:pt idx="66">
                  <c:v>40360</c:v>
                </c:pt>
                <c:pt idx="67">
                  <c:v>40452</c:v>
                </c:pt>
                <c:pt idx="68">
                  <c:v>40544</c:v>
                </c:pt>
                <c:pt idx="69">
                  <c:v>40634</c:v>
                </c:pt>
                <c:pt idx="70">
                  <c:v>40725</c:v>
                </c:pt>
                <c:pt idx="71">
                  <c:v>40817</c:v>
                </c:pt>
                <c:pt idx="72">
                  <c:v>40909</c:v>
                </c:pt>
                <c:pt idx="73">
                  <c:v>41000</c:v>
                </c:pt>
                <c:pt idx="74">
                  <c:v>41091</c:v>
                </c:pt>
                <c:pt idx="75">
                  <c:v>41183</c:v>
                </c:pt>
                <c:pt idx="76">
                  <c:v>41275</c:v>
                </c:pt>
                <c:pt idx="77">
                  <c:v>41365</c:v>
                </c:pt>
                <c:pt idx="78">
                  <c:v>41456</c:v>
                </c:pt>
                <c:pt idx="79">
                  <c:v>41548</c:v>
                </c:pt>
                <c:pt idx="80">
                  <c:v>41640</c:v>
                </c:pt>
                <c:pt idx="81">
                  <c:v>41730</c:v>
                </c:pt>
                <c:pt idx="82">
                  <c:v>41821</c:v>
                </c:pt>
                <c:pt idx="83">
                  <c:v>41913</c:v>
                </c:pt>
                <c:pt idx="84">
                  <c:v>42005</c:v>
                </c:pt>
                <c:pt idx="85">
                  <c:v>42095</c:v>
                </c:pt>
                <c:pt idx="86">
                  <c:v>42186</c:v>
                </c:pt>
                <c:pt idx="87">
                  <c:v>42278</c:v>
                </c:pt>
                <c:pt idx="88">
                  <c:v>42370</c:v>
                </c:pt>
                <c:pt idx="89">
                  <c:v>42461</c:v>
                </c:pt>
                <c:pt idx="90">
                  <c:v>42552</c:v>
                </c:pt>
                <c:pt idx="91">
                  <c:v>42644</c:v>
                </c:pt>
                <c:pt idx="92">
                  <c:v>42736</c:v>
                </c:pt>
                <c:pt idx="93">
                  <c:v>42826</c:v>
                </c:pt>
                <c:pt idx="94">
                  <c:v>42917</c:v>
                </c:pt>
                <c:pt idx="95">
                  <c:v>43009</c:v>
                </c:pt>
                <c:pt idx="96">
                  <c:v>43101</c:v>
                </c:pt>
                <c:pt idx="97">
                  <c:v>43191</c:v>
                </c:pt>
                <c:pt idx="98">
                  <c:v>43282</c:v>
                </c:pt>
                <c:pt idx="99">
                  <c:v>43374</c:v>
                </c:pt>
                <c:pt idx="100">
                  <c:v>43466</c:v>
                </c:pt>
                <c:pt idx="101">
                  <c:v>43556</c:v>
                </c:pt>
                <c:pt idx="102">
                  <c:v>43647</c:v>
                </c:pt>
                <c:pt idx="103">
                  <c:v>43739</c:v>
                </c:pt>
                <c:pt idx="104">
                  <c:v>43831</c:v>
                </c:pt>
                <c:pt idx="105">
                  <c:v>43922</c:v>
                </c:pt>
                <c:pt idx="106">
                  <c:v>44013</c:v>
                </c:pt>
                <c:pt idx="107">
                  <c:v>44105</c:v>
                </c:pt>
                <c:pt idx="108">
                  <c:v>44197</c:v>
                </c:pt>
                <c:pt idx="109">
                  <c:v>44287</c:v>
                </c:pt>
                <c:pt idx="110">
                  <c:v>44378</c:v>
                </c:pt>
                <c:pt idx="111">
                  <c:v>44470</c:v>
                </c:pt>
                <c:pt idx="112">
                  <c:v>44562</c:v>
                </c:pt>
                <c:pt idx="113">
                  <c:v>44652</c:v>
                </c:pt>
                <c:pt idx="114">
                  <c:v>44743</c:v>
                </c:pt>
                <c:pt idx="115">
                  <c:v>44835</c:v>
                </c:pt>
                <c:pt idx="116">
                  <c:v>44927</c:v>
                </c:pt>
                <c:pt idx="117">
                  <c:v>45017</c:v>
                </c:pt>
                <c:pt idx="118">
                  <c:v>45108</c:v>
                </c:pt>
                <c:pt idx="119">
                  <c:v>45200</c:v>
                </c:pt>
                <c:pt idx="120">
                  <c:v>45292</c:v>
                </c:pt>
                <c:pt idx="121">
                  <c:v>45383</c:v>
                </c:pt>
                <c:pt idx="122">
                  <c:v>45474</c:v>
                </c:pt>
                <c:pt idx="123">
                  <c:v>45566</c:v>
                </c:pt>
              </c:numCache>
            </c:numRef>
          </c:cat>
          <c:val>
            <c:numRef>
              <c:f>DATA!$V$2:$V$125</c:f>
              <c:numCache>
                <c:formatCode>0.0000%</c:formatCode>
                <c:ptCount val="124"/>
                <c:pt idx="0">
                  <c:v>0.82283396921590191</c:v>
                </c:pt>
                <c:pt idx="1">
                  <c:v>0.81646766514253599</c:v>
                </c:pt>
                <c:pt idx="2">
                  <c:v>0.82878423258490197</c:v>
                </c:pt>
                <c:pt idx="3">
                  <c:v>0.82484106053013306</c:v>
                </c:pt>
                <c:pt idx="4">
                  <c:v>0.83288524372322403</c:v>
                </c:pt>
                <c:pt idx="5">
                  <c:v>0.84124656613778592</c:v>
                </c:pt>
                <c:pt idx="6">
                  <c:v>0.849269545957825</c:v>
                </c:pt>
                <c:pt idx="7">
                  <c:v>0.85385936401901208</c:v>
                </c:pt>
                <c:pt idx="8">
                  <c:v>0.86045192687666305</c:v>
                </c:pt>
                <c:pt idx="9">
                  <c:v>0.86825194837236597</c:v>
                </c:pt>
                <c:pt idx="10">
                  <c:v>0.86440770445164505</c:v>
                </c:pt>
                <c:pt idx="11">
                  <c:v>0.87498255802396996</c:v>
                </c:pt>
                <c:pt idx="12">
                  <c:v>0.87113738892745407</c:v>
                </c:pt>
                <c:pt idx="13">
                  <c:v>0.86239227989246703</c:v>
                </c:pt>
                <c:pt idx="14">
                  <c:v>0.86514649254187204</c:v>
                </c:pt>
                <c:pt idx="15">
                  <c:v>0.86689703270321994</c:v>
                </c:pt>
                <c:pt idx="16">
                  <c:v>0.856501749851455</c:v>
                </c:pt>
                <c:pt idx="17">
                  <c:v>0.85585732731279196</c:v>
                </c:pt>
                <c:pt idx="18">
                  <c:v>0.86021850226318508</c:v>
                </c:pt>
                <c:pt idx="19">
                  <c:v>0.86989477218143607</c:v>
                </c:pt>
                <c:pt idx="20">
                  <c:v>0.86035971530948696</c:v>
                </c:pt>
                <c:pt idx="21">
                  <c:v>0.86432462185674697</c:v>
                </c:pt>
                <c:pt idx="22">
                  <c:v>0.86813605297110696</c:v>
                </c:pt>
                <c:pt idx="23">
                  <c:v>0.86884078088575389</c:v>
                </c:pt>
                <c:pt idx="24">
                  <c:v>0.88776799161460007</c:v>
                </c:pt>
                <c:pt idx="25">
                  <c:v>0.89074066615782799</c:v>
                </c:pt>
                <c:pt idx="26">
                  <c:v>0.89064002901849093</c:v>
                </c:pt>
                <c:pt idx="27">
                  <c:v>0.89538688520085197</c:v>
                </c:pt>
                <c:pt idx="28">
                  <c:v>0.90388882339030596</c:v>
                </c:pt>
                <c:pt idx="29">
                  <c:v>0.90263316185593789</c:v>
                </c:pt>
                <c:pt idx="30">
                  <c:v>0.89688609926335905</c:v>
                </c:pt>
                <c:pt idx="31">
                  <c:v>0.89415863580673105</c:v>
                </c:pt>
                <c:pt idx="32">
                  <c:v>0.89898911284213001</c:v>
                </c:pt>
                <c:pt idx="33">
                  <c:v>0.91257557543907397</c:v>
                </c:pt>
                <c:pt idx="34">
                  <c:v>0.91476790179604395</c:v>
                </c:pt>
                <c:pt idx="35">
                  <c:v>0.91771686823360199</c:v>
                </c:pt>
                <c:pt idx="36">
                  <c:v>0.91969570313708204</c:v>
                </c:pt>
                <c:pt idx="37">
                  <c:v>0.92435516304480603</c:v>
                </c:pt>
                <c:pt idx="38">
                  <c:v>0.92772915162583003</c:v>
                </c:pt>
                <c:pt idx="39">
                  <c:v>0.937952704431535</c:v>
                </c:pt>
                <c:pt idx="40">
                  <c:v>0.94338485793318594</c:v>
                </c:pt>
                <c:pt idx="41">
                  <c:v>0.94284202531263706</c:v>
                </c:pt>
                <c:pt idx="42">
                  <c:v>0.94815992150721007</c:v>
                </c:pt>
                <c:pt idx="43">
                  <c:v>0.94766934037890904</c:v>
                </c:pt>
                <c:pt idx="44">
                  <c:v>0.950607130940333</c:v>
                </c:pt>
                <c:pt idx="45">
                  <c:v>0.95547474635966789</c:v>
                </c:pt>
                <c:pt idx="46">
                  <c:v>0.96206450227964302</c:v>
                </c:pt>
                <c:pt idx="47">
                  <c:v>0.96635071990589594</c:v>
                </c:pt>
                <c:pt idx="48">
                  <c:v>0.96525122652286899</c:v>
                </c:pt>
                <c:pt idx="49">
                  <c:v>0.96712051518675901</c:v>
                </c:pt>
                <c:pt idx="50">
                  <c:v>0.96152339865274894</c:v>
                </c:pt>
                <c:pt idx="51">
                  <c:v>0.97221525745655701</c:v>
                </c:pt>
                <c:pt idx="52">
                  <c:v>0.97945699437300604</c:v>
                </c:pt>
                <c:pt idx="53">
                  <c:v>0.97474657793359898</c:v>
                </c:pt>
                <c:pt idx="54">
                  <c:v>0.97152510153660099</c:v>
                </c:pt>
                <c:pt idx="55">
                  <c:v>0.97392377731354396</c:v>
                </c:pt>
                <c:pt idx="56">
                  <c:v>0.98100362797824903</c:v>
                </c:pt>
                <c:pt idx="57">
                  <c:v>0.97357586885817293</c:v>
                </c:pt>
                <c:pt idx="58">
                  <c:v>0.96556918336369091</c:v>
                </c:pt>
                <c:pt idx="59">
                  <c:v>0.94175943494850201</c:v>
                </c:pt>
                <c:pt idx="60">
                  <c:v>0.90105221822054105</c:v>
                </c:pt>
                <c:pt idx="61">
                  <c:v>0.92705855384604208</c:v>
                </c:pt>
                <c:pt idx="62">
                  <c:v>0.92823489392970404</c:v>
                </c:pt>
                <c:pt idx="63">
                  <c:v>0.94128908632976405</c:v>
                </c:pt>
                <c:pt idx="64">
                  <c:v>0.94893000804712002</c:v>
                </c:pt>
                <c:pt idx="65">
                  <c:v>0.96329738326370307</c:v>
                </c:pt>
                <c:pt idx="66">
                  <c:v>0.97690908783544694</c:v>
                </c:pt>
                <c:pt idx="67">
                  <c:v>0.97017039288981588</c:v>
                </c:pt>
                <c:pt idx="68">
                  <c:v>0.95804732853499208</c:v>
                </c:pt>
                <c:pt idx="69">
                  <c:v>0.95399922945682103</c:v>
                </c:pt>
                <c:pt idx="70">
                  <c:v>0.97733476483585402</c:v>
                </c:pt>
                <c:pt idx="71">
                  <c:v>0.97449924998386195</c:v>
                </c:pt>
                <c:pt idx="72">
                  <c:v>0.99043416996786604</c:v>
                </c:pt>
                <c:pt idx="73">
                  <c:v>0.98205446206393698</c:v>
                </c:pt>
                <c:pt idx="74">
                  <c:v>0.97696202987814607</c:v>
                </c:pt>
                <c:pt idx="75">
                  <c:v>0.975972460134095</c:v>
                </c:pt>
                <c:pt idx="76">
                  <c:v>0.98632257165838</c:v>
                </c:pt>
                <c:pt idx="77">
                  <c:v>0.99299425655898998</c:v>
                </c:pt>
                <c:pt idx="78">
                  <c:v>1.0015262953239101</c:v>
                </c:pt>
                <c:pt idx="79">
                  <c:v>0.99504777418453405</c:v>
                </c:pt>
                <c:pt idx="80">
                  <c:v>1.0040279345052601</c:v>
                </c:pt>
                <c:pt idx="81">
                  <c:v>0.98302184186630404</c:v>
                </c:pt>
                <c:pt idx="82">
                  <c:v>0.98315540079618802</c:v>
                </c:pt>
                <c:pt idx="83">
                  <c:v>0.98618553760830097</c:v>
                </c:pt>
                <c:pt idx="84">
                  <c:v>1.00037444574767</c:v>
                </c:pt>
                <c:pt idx="85">
                  <c:v>1.0019338233639501</c:v>
                </c:pt>
                <c:pt idx="86">
                  <c:v>1.00088595183964</c:v>
                </c:pt>
                <c:pt idx="87">
                  <c:v>0.99680577904873702</c:v>
                </c:pt>
                <c:pt idx="88">
                  <c:v>1.00091531903244</c:v>
                </c:pt>
                <c:pt idx="89">
                  <c:v>0.99746386934648901</c:v>
                </c:pt>
                <c:pt idx="90">
                  <c:v>0.99404272678244798</c:v>
                </c:pt>
                <c:pt idx="91">
                  <c:v>0.993929953849498</c:v>
                </c:pt>
                <c:pt idx="92">
                  <c:v>1.00165149292995</c:v>
                </c:pt>
                <c:pt idx="93">
                  <c:v>1.0002967052815301</c:v>
                </c:pt>
                <c:pt idx="94">
                  <c:v>1.00332998597806</c:v>
                </c:pt>
                <c:pt idx="95">
                  <c:v>1.0044605436613401</c:v>
                </c:pt>
                <c:pt idx="96">
                  <c:v>0.993178197117078</c:v>
                </c:pt>
                <c:pt idx="97">
                  <c:v>0.99122471888354691</c:v>
                </c:pt>
                <c:pt idx="98">
                  <c:v>0.9859842281120289</c:v>
                </c:pt>
                <c:pt idx="99">
                  <c:v>0.98045035905110689</c:v>
                </c:pt>
                <c:pt idx="100">
                  <c:v>0.98104954886945195</c:v>
                </c:pt>
                <c:pt idx="101">
                  <c:v>0.98261441567174901</c:v>
                </c:pt>
                <c:pt idx="102">
                  <c:v>0.98171736112766994</c:v>
                </c:pt>
                <c:pt idx="103">
                  <c:v>0.95069451817261297</c:v>
                </c:pt>
                <c:pt idx="104">
                  <c:v>0.95794996330079496</c:v>
                </c:pt>
                <c:pt idx="105">
                  <c:v>0.89643749655903404</c:v>
                </c:pt>
                <c:pt idx="106">
                  <c:v>0.94381212734008002</c:v>
                </c:pt>
                <c:pt idx="107">
                  <c:v>0.95560972969858193</c:v>
                </c:pt>
                <c:pt idx="108">
                  <c:v>0.95693728843344605</c:v>
                </c:pt>
                <c:pt idx="109">
                  <c:v>0.96428348502626204</c:v>
                </c:pt>
                <c:pt idx="110">
                  <c:v>0.95853186032711202</c:v>
                </c:pt>
                <c:pt idx="111">
                  <c:v>0.97261759328058306</c:v>
                </c:pt>
                <c:pt idx="112">
                  <c:v>0.96489274089051602</c:v>
                </c:pt>
                <c:pt idx="113">
                  <c:v>0.97247899157151807</c:v>
                </c:pt>
                <c:pt idx="114">
                  <c:v>0.970871748005666</c:v>
                </c:pt>
                <c:pt idx="115">
                  <c:v>0.97429337219414291</c:v>
                </c:pt>
                <c:pt idx="116">
                  <c:v>0.98551901269603204</c:v>
                </c:pt>
                <c:pt idx="117">
                  <c:v>0.99193562510692701</c:v>
                </c:pt>
                <c:pt idx="118">
                  <c:v>0.98392953735977007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E9-CE43-A160-6CA843BD5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410800"/>
        <c:axId val="468634656"/>
      </c:lineChart>
      <c:lineChart>
        <c:grouping val="standard"/>
        <c:varyColors val="0"/>
        <c:ser>
          <c:idx val="0"/>
          <c:order val="0"/>
          <c:tx>
            <c:strRef>
              <c:f>DATA!$U$1</c:f>
              <c:strCache>
                <c:ptCount val="1"/>
                <c:pt idx="0">
                  <c:v>Share of 55-64 in the Labor Force,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DATA!$A$2:$A$125</c:f>
              <c:numCache>
                <c:formatCode>yyyy\-mm\-dd</c:formatCode>
                <c:ptCount val="124"/>
                <c:pt idx="0">
                  <c:v>34335</c:v>
                </c:pt>
                <c:pt idx="1">
                  <c:v>34425</c:v>
                </c:pt>
                <c:pt idx="2">
                  <c:v>34516</c:v>
                </c:pt>
                <c:pt idx="3">
                  <c:v>34608</c:v>
                </c:pt>
                <c:pt idx="4">
                  <c:v>34700</c:v>
                </c:pt>
                <c:pt idx="5">
                  <c:v>34790</c:v>
                </c:pt>
                <c:pt idx="6">
                  <c:v>34881</c:v>
                </c:pt>
                <c:pt idx="7">
                  <c:v>34973</c:v>
                </c:pt>
                <c:pt idx="8">
                  <c:v>35065</c:v>
                </c:pt>
                <c:pt idx="9">
                  <c:v>35156</c:v>
                </c:pt>
                <c:pt idx="10">
                  <c:v>35247</c:v>
                </c:pt>
                <c:pt idx="11">
                  <c:v>35339</c:v>
                </c:pt>
                <c:pt idx="12">
                  <c:v>35431</c:v>
                </c:pt>
                <c:pt idx="13">
                  <c:v>35521</c:v>
                </c:pt>
                <c:pt idx="14">
                  <c:v>35612</c:v>
                </c:pt>
                <c:pt idx="15">
                  <c:v>35704</c:v>
                </c:pt>
                <c:pt idx="16">
                  <c:v>35796</c:v>
                </c:pt>
                <c:pt idx="17">
                  <c:v>35886</c:v>
                </c:pt>
                <c:pt idx="18">
                  <c:v>35977</c:v>
                </c:pt>
                <c:pt idx="19">
                  <c:v>36069</c:v>
                </c:pt>
                <c:pt idx="20">
                  <c:v>36161</c:v>
                </c:pt>
                <c:pt idx="21">
                  <c:v>36251</c:v>
                </c:pt>
                <c:pt idx="22">
                  <c:v>36342</c:v>
                </c:pt>
                <c:pt idx="23">
                  <c:v>36434</c:v>
                </c:pt>
                <c:pt idx="24">
                  <c:v>36526</c:v>
                </c:pt>
                <c:pt idx="25">
                  <c:v>36617</c:v>
                </c:pt>
                <c:pt idx="26">
                  <c:v>36708</c:v>
                </c:pt>
                <c:pt idx="27">
                  <c:v>36800</c:v>
                </c:pt>
                <c:pt idx="28">
                  <c:v>36892</c:v>
                </c:pt>
                <c:pt idx="29">
                  <c:v>36982</c:v>
                </c:pt>
                <c:pt idx="30">
                  <c:v>37073</c:v>
                </c:pt>
                <c:pt idx="31">
                  <c:v>37165</c:v>
                </c:pt>
                <c:pt idx="32">
                  <c:v>37257</c:v>
                </c:pt>
                <c:pt idx="33">
                  <c:v>37347</c:v>
                </c:pt>
                <c:pt idx="34">
                  <c:v>37438</c:v>
                </c:pt>
                <c:pt idx="35">
                  <c:v>37530</c:v>
                </c:pt>
                <c:pt idx="36">
                  <c:v>37622</c:v>
                </c:pt>
                <c:pt idx="37">
                  <c:v>37712</c:v>
                </c:pt>
                <c:pt idx="38">
                  <c:v>37803</c:v>
                </c:pt>
                <c:pt idx="39">
                  <c:v>37895</c:v>
                </c:pt>
                <c:pt idx="40">
                  <c:v>37987</c:v>
                </c:pt>
                <c:pt idx="41">
                  <c:v>38078</c:v>
                </c:pt>
                <c:pt idx="42">
                  <c:v>38169</c:v>
                </c:pt>
                <c:pt idx="43">
                  <c:v>38261</c:v>
                </c:pt>
                <c:pt idx="44">
                  <c:v>38353</c:v>
                </c:pt>
                <c:pt idx="45">
                  <c:v>38443</c:v>
                </c:pt>
                <c:pt idx="46">
                  <c:v>38534</c:v>
                </c:pt>
                <c:pt idx="47">
                  <c:v>38626</c:v>
                </c:pt>
                <c:pt idx="48">
                  <c:v>38718</c:v>
                </c:pt>
                <c:pt idx="49">
                  <c:v>38808</c:v>
                </c:pt>
                <c:pt idx="50">
                  <c:v>38899</c:v>
                </c:pt>
                <c:pt idx="51">
                  <c:v>38991</c:v>
                </c:pt>
                <c:pt idx="52">
                  <c:v>39083</c:v>
                </c:pt>
                <c:pt idx="53">
                  <c:v>39173</c:v>
                </c:pt>
                <c:pt idx="54">
                  <c:v>39264</c:v>
                </c:pt>
                <c:pt idx="55">
                  <c:v>39356</c:v>
                </c:pt>
                <c:pt idx="56">
                  <c:v>39448</c:v>
                </c:pt>
                <c:pt idx="57">
                  <c:v>39539</c:v>
                </c:pt>
                <c:pt idx="58">
                  <c:v>39630</c:v>
                </c:pt>
                <c:pt idx="59">
                  <c:v>39722</c:v>
                </c:pt>
                <c:pt idx="60">
                  <c:v>39814</c:v>
                </c:pt>
                <c:pt idx="61">
                  <c:v>39904</c:v>
                </c:pt>
                <c:pt idx="62">
                  <c:v>39995</c:v>
                </c:pt>
                <c:pt idx="63">
                  <c:v>40087</c:v>
                </c:pt>
                <c:pt idx="64">
                  <c:v>40179</c:v>
                </c:pt>
                <c:pt idx="65">
                  <c:v>40269</c:v>
                </c:pt>
                <c:pt idx="66">
                  <c:v>40360</c:v>
                </c:pt>
                <c:pt idx="67">
                  <c:v>40452</c:v>
                </c:pt>
                <c:pt idx="68">
                  <c:v>40544</c:v>
                </c:pt>
                <c:pt idx="69">
                  <c:v>40634</c:v>
                </c:pt>
                <c:pt idx="70">
                  <c:v>40725</c:v>
                </c:pt>
                <c:pt idx="71">
                  <c:v>40817</c:v>
                </c:pt>
                <c:pt idx="72">
                  <c:v>40909</c:v>
                </c:pt>
                <c:pt idx="73">
                  <c:v>41000</c:v>
                </c:pt>
                <c:pt idx="74">
                  <c:v>41091</c:v>
                </c:pt>
                <c:pt idx="75">
                  <c:v>41183</c:v>
                </c:pt>
                <c:pt idx="76">
                  <c:v>41275</c:v>
                </c:pt>
                <c:pt idx="77">
                  <c:v>41365</c:v>
                </c:pt>
                <c:pt idx="78">
                  <c:v>41456</c:v>
                </c:pt>
                <c:pt idx="79">
                  <c:v>41548</c:v>
                </c:pt>
                <c:pt idx="80">
                  <c:v>41640</c:v>
                </c:pt>
                <c:pt idx="81">
                  <c:v>41730</c:v>
                </c:pt>
                <c:pt idx="82">
                  <c:v>41821</c:v>
                </c:pt>
                <c:pt idx="83">
                  <c:v>41913</c:v>
                </c:pt>
                <c:pt idx="84">
                  <c:v>42005</c:v>
                </c:pt>
                <c:pt idx="85">
                  <c:v>42095</c:v>
                </c:pt>
                <c:pt idx="86">
                  <c:v>42186</c:v>
                </c:pt>
                <c:pt idx="87">
                  <c:v>42278</c:v>
                </c:pt>
                <c:pt idx="88">
                  <c:v>42370</c:v>
                </c:pt>
                <c:pt idx="89">
                  <c:v>42461</c:v>
                </c:pt>
                <c:pt idx="90">
                  <c:v>42552</c:v>
                </c:pt>
                <c:pt idx="91">
                  <c:v>42644</c:v>
                </c:pt>
                <c:pt idx="92">
                  <c:v>42736</c:v>
                </c:pt>
                <c:pt idx="93">
                  <c:v>42826</c:v>
                </c:pt>
                <c:pt idx="94">
                  <c:v>42917</c:v>
                </c:pt>
                <c:pt idx="95">
                  <c:v>43009</c:v>
                </c:pt>
                <c:pt idx="96">
                  <c:v>43101</c:v>
                </c:pt>
                <c:pt idx="97">
                  <c:v>43191</c:v>
                </c:pt>
                <c:pt idx="98">
                  <c:v>43282</c:v>
                </c:pt>
                <c:pt idx="99">
                  <c:v>43374</c:v>
                </c:pt>
                <c:pt idx="100">
                  <c:v>43466</c:v>
                </c:pt>
                <c:pt idx="101">
                  <c:v>43556</c:v>
                </c:pt>
                <c:pt idx="102">
                  <c:v>43647</c:v>
                </c:pt>
                <c:pt idx="103">
                  <c:v>43739</c:v>
                </c:pt>
                <c:pt idx="104">
                  <c:v>43831</c:v>
                </c:pt>
                <c:pt idx="105">
                  <c:v>43922</c:v>
                </c:pt>
                <c:pt idx="106">
                  <c:v>44013</c:v>
                </c:pt>
                <c:pt idx="107">
                  <c:v>44105</c:v>
                </c:pt>
                <c:pt idx="108">
                  <c:v>44197</c:v>
                </c:pt>
                <c:pt idx="109">
                  <c:v>44287</c:v>
                </c:pt>
                <c:pt idx="110">
                  <c:v>44378</c:v>
                </c:pt>
                <c:pt idx="111">
                  <c:v>44470</c:v>
                </c:pt>
                <c:pt idx="112">
                  <c:v>44562</c:v>
                </c:pt>
                <c:pt idx="113">
                  <c:v>44652</c:v>
                </c:pt>
                <c:pt idx="114">
                  <c:v>44743</c:v>
                </c:pt>
                <c:pt idx="115">
                  <c:v>44835</c:v>
                </c:pt>
                <c:pt idx="116">
                  <c:v>44927</c:v>
                </c:pt>
                <c:pt idx="117">
                  <c:v>45017</c:v>
                </c:pt>
                <c:pt idx="118">
                  <c:v>45108</c:v>
                </c:pt>
                <c:pt idx="119">
                  <c:v>45200</c:v>
                </c:pt>
                <c:pt idx="120">
                  <c:v>45292</c:v>
                </c:pt>
                <c:pt idx="121">
                  <c:v>45383</c:v>
                </c:pt>
                <c:pt idx="122">
                  <c:v>45474</c:v>
                </c:pt>
                <c:pt idx="123">
                  <c:v>45566</c:v>
                </c:pt>
              </c:numCache>
            </c:numRef>
          </c:cat>
          <c:val>
            <c:numRef>
              <c:f>DATA!$U$2:$U$125</c:f>
              <c:numCache>
                <c:formatCode>0.0000%</c:formatCode>
                <c:ptCount val="124"/>
                <c:pt idx="0">
                  <c:v>0.17445860872792679</c:v>
                </c:pt>
                <c:pt idx="1">
                  <c:v>0.17426288822202271</c:v>
                </c:pt>
                <c:pt idx="2">
                  <c:v>0.17417612620029896</c:v>
                </c:pt>
                <c:pt idx="3">
                  <c:v>0.17475276919217606</c:v>
                </c:pt>
                <c:pt idx="4">
                  <c:v>0.17539428903509185</c:v>
                </c:pt>
                <c:pt idx="5">
                  <c:v>0.17600520434304082</c:v>
                </c:pt>
                <c:pt idx="6">
                  <c:v>0.17653979470516415</c:v>
                </c:pt>
                <c:pt idx="7">
                  <c:v>0.17698774994358141</c:v>
                </c:pt>
                <c:pt idx="8">
                  <c:v>0.17769335008065551</c:v>
                </c:pt>
                <c:pt idx="9">
                  <c:v>0.17863209829840238</c:v>
                </c:pt>
                <c:pt idx="10">
                  <c:v>0.179754953291766</c:v>
                </c:pt>
                <c:pt idx="11">
                  <c:v>0.18108285474605013</c:v>
                </c:pt>
                <c:pt idx="12">
                  <c:v>0.18261638504949118</c:v>
                </c:pt>
                <c:pt idx="13">
                  <c:v>0.18327790571617938</c:v>
                </c:pt>
                <c:pt idx="14">
                  <c:v>0.18429004968567322</c:v>
                </c:pt>
                <c:pt idx="15">
                  <c:v>0.18460561702633396</c:v>
                </c:pt>
                <c:pt idx="16">
                  <c:v>0.18506626712656166</c:v>
                </c:pt>
                <c:pt idx="17">
                  <c:v>0.18557307947491761</c:v>
                </c:pt>
                <c:pt idx="18">
                  <c:v>0.18670985239119356</c:v>
                </c:pt>
                <c:pt idx="19">
                  <c:v>0.18753686269252887</c:v>
                </c:pt>
                <c:pt idx="20">
                  <c:v>0.18852981290919624</c:v>
                </c:pt>
                <c:pt idx="21">
                  <c:v>0.18996616784444137</c:v>
                </c:pt>
                <c:pt idx="22">
                  <c:v>0.19058682014935846</c:v>
                </c:pt>
                <c:pt idx="23">
                  <c:v>0.19091209843783288</c:v>
                </c:pt>
                <c:pt idx="24">
                  <c:v>0.19009410685166758</c:v>
                </c:pt>
                <c:pt idx="25">
                  <c:v>0.19034025806269603</c:v>
                </c:pt>
                <c:pt idx="26">
                  <c:v>0.18997532302436607</c:v>
                </c:pt>
                <c:pt idx="27">
                  <c:v>0.1890900753971769</c:v>
                </c:pt>
                <c:pt idx="28">
                  <c:v>0.18725473828702865</c:v>
                </c:pt>
                <c:pt idx="29">
                  <c:v>0.18669543258813817</c:v>
                </c:pt>
                <c:pt idx="30">
                  <c:v>0.18716242410530848</c:v>
                </c:pt>
                <c:pt idx="31">
                  <c:v>0.18838918141068214</c:v>
                </c:pt>
                <c:pt idx="32">
                  <c:v>0.19085413992675135</c:v>
                </c:pt>
                <c:pt idx="33">
                  <c:v>0.19275832726908698</c:v>
                </c:pt>
                <c:pt idx="34">
                  <c:v>0.19495920110472004</c:v>
                </c:pt>
                <c:pt idx="35">
                  <c:v>0.19680949047636592</c:v>
                </c:pt>
                <c:pt idx="36">
                  <c:v>0.19915791273872219</c:v>
                </c:pt>
                <c:pt idx="37">
                  <c:v>0.20156817050250989</c:v>
                </c:pt>
                <c:pt idx="38">
                  <c:v>0.20387456665305723</c:v>
                </c:pt>
                <c:pt idx="39">
                  <c:v>0.20654021338697542</c:v>
                </c:pt>
                <c:pt idx="40">
                  <c:v>0.2090362004018391</c:v>
                </c:pt>
                <c:pt idx="41">
                  <c:v>0.2119394139912342</c:v>
                </c:pt>
                <c:pt idx="42">
                  <c:v>0.21438398616541815</c:v>
                </c:pt>
                <c:pt idx="43">
                  <c:v>0.21690058351243016</c:v>
                </c:pt>
                <c:pt idx="44">
                  <c:v>0.21818116995621128</c:v>
                </c:pt>
                <c:pt idx="45">
                  <c:v>0.21970489713729649</c:v>
                </c:pt>
                <c:pt idx="46">
                  <c:v>0.22099732374514666</c:v>
                </c:pt>
                <c:pt idx="47">
                  <c:v>0.22254885485928252</c:v>
                </c:pt>
                <c:pt idx="48">
                  <c:v>0.22313275106732602</c:v>
                </c:pt>
                <c:pt idx="49">
                  <c:v>0.22388377019012182</c:v>
                </c:pt>
                <c:pt idx="50">
                  <c:v>0.22443322374850239</c:v>
                </c:pt>
                <c:pt idx="51">
                  <c:v>0.22526411453357195</c:v>
                </c:pt>
                <c:pt idx="52">
                  <c:v>0.22689149266586392</c:v>
                </c:pt>
                <c:pt idx="53">
                  <c:v>0.22727730346850877</c:v>
                </c:pt>
                <c:pt idx="54">
                  <c:v>0.22794377881304542</c:v>
                </c:pt>
                <c:pt idx="55">
                  <c:v>0.22860873687057195</c:v>
                </c:pt>
                <c:pt idx="56">
                  <c:v>0.2280790297311264</c:v>
                </c:pt>
                <c:pt idx="57">
                  <c:v>0.22862600307840261</c:v>
                </c:pt>
                <c:pt idx="58">
                  <c:v>0.22886688637413502</c:v>
                </c:pt>
                <c:pt idx="59">
                  <c:v>0.22844430585300701</c:v>
                </c:pt>
                <c:pt idx="60">
                  <c:v>0.2278200111923587</c:v>
                </c:pt>
                <c:pt idx="61">
                  <c:v>0.22779782182794014</c:v>
                </c:pt>
                <c:pt idx="62">
                  <c:v>0.22808916381789041</c:v>
                </c:pt>
                <c:pt idx="63">
                  <c:v>0.22819141371478283</c:v>
                </c:pt>
                <c:pt idx="64">
                  <c:v>0.22867060263854985</c:v>
                </c:pt>
                <c:pt idx="65">
                  <c:v>0.22934773409932457</c:v>
                </c:pt>
                <c:pt idx="66">
                  <c:v>0.23034901038022887</c:v>
                </c:pt>
                <c:pt idx="67">
                  <c:v>0.23066592620384299</c:v>
                </c:pt>
                <c:pt idx="68">
                  <c:v>0.23126635958159927</c:v>
                </c:pt>
                <c:pt idx="69">
                  <c:v>0.23192862237499567</c:v>
                </c:pt>
                <c:pt idx="70">
                  <c:v>0.23215801565794408</c:v>
                </c:pt>
                <c:pt idx="71">
                  <c:v>0.23162832642275469</c:v>
                </c:pt>
                <c:pt idx="72">
                  <c:v>0.23127878350132763</c:v>
                </c:pt>
                <c:pt idx="73">
                  <c:v>0.22956135102630576</c:v>
                </c:pt>
                <c:pt idx="74">
                  <c:v>0.22763878792794809</c:v>
                </c:pt>
                <c:pt idx="75">
                  <c:v>0.22601622314700934</c:v>
                </c:pt>
                <c:pt idx="76">
                  <c:v>0.22415455204735457</c:v>
                </c:pt>
                <c:pt idx="77">
                  <c:v>0.2222537416998534</c:v>
                </c:pt>
                <c:pt idx="78">
                  <c:v>0.22113510236322842</c:v>
                </c:pt>
                <c:pt idx="79">
                  <c:v>0.21939460661972437</c:v>
                </c:pt>
                <c:pt idx="80">
                  <c:v>0.2176605359957961</c:v>
                </c:pt>
                <c:pt idx="81">
                  <c:v>0.21690286296962666</c:v>
                </c:pt>
                <c:pt idx="82">
                  <c:v>0.21447676090480397</c:v>
                </c:pt>
                <c:pt idx="83">
                  <c:v>0.21271035512773273</c:v>
                </c:pt>
                <c:pt idx="84">
                  <c:v>0.21154928596487607</c:v>
                </c:pt>
                <c:pt idx="85">
                  <c:v>0.21053391482387249</c:v>
                </c:pt>
                <c:pt idx="86">
                  <c:v>0.20925463147469719</c:v>
                </c:pt>
                <c:pt idx="87">
                  <c:v>0.20816023636693684</c:v>
                </c:pt>
                <c:pt idx="88">
                  <c:v>0.20673676369955549</c:v>
                </c:pt>
                <c:pt idx="89">
                  <c:v>0.20610645738940234</c:v>
                </c:pt>
                <c:pt idx="90">
                  <c:v>0.20513525493328205</c:v>
                </c:pt>
                <c:pt idx="91">
                  <c:v>0.20451730104032828</c:v>
                </c:pt>
                <c:pt idx="92">
                  <c:v>0.20389736994884605</c:v>
                </c:pt>
                <c:pt idx="93">
                  <c:v>0.20306290082363335</c:v>
                </c:pt>
                <c:pt idx="94">
                  <c:v>0.20266763541002217</c:v>
                </c:pt>
                <c:pt idx="95">
                  <c:v>0.20231436720136967</c:v>
                </c:pt>
                <c:pt idx="96">
                  <c:v>0.20203178412376097</c:v>
                </c:pt>
                <c:pt idx="97">
                  <c:v>0.2020437837538972</c:v>
                </c:pt>
                <c:pt idx="98">
                  <c:v>0.20182983882100738</c:v>
                </c:pt>
                <c:pt idx="99">
                  <c:v>0.20184626142200804</c:v>
                </c:pt>
                <c:pt idx="100">
                  <c:v>0.20205450188546059</c:v>
                </c:pt>
                <c:pt idx="101">
                  <c:v>0.20213234718686954</c:v>
                </c:pt>
                <c:pt idx="102">
                  <c:v>0.20214587571454473</c:v>
                </c:pt>
                <c:pt idx="103">
                  <c:v>0.20310504216318451</c:v>
                </c:pt>
                <c:pt idx="104">
                  <c:v>0.20360686717491297</c:v>
                </c:pt>
                <c:pt idx="105">
                  <c:v>0.20368022950410397</c:v>
                </c:pt>
                <c:pt idx="106">
                  <c:v>0.20468305208303983</c:v>
                </c:pt>
                <c:pt idx="107">
                  <c:v>0.20542178166516106</c:v>
                </c:pt>
                <c:pt idx="108">
                  <c:v>0.20518757111550562</c:v>
                </c:pt>
                <c:pt idx="109">
                  <c:v>0.2045314502042733</c:v>
                </c:pt>
                <c:pt idx="110">
                  <c:v>0.20406829609403615</c:v>
                </c:pt>
                <c:pt idx="111">
                  <c:v>0.20411035269526662</c:v>
                </c:pt>
                <c:pt idx="112">
                  <c:v>0.20574860139040427</c:v>
                </c:pt>
                <c:pt idx="113">
                  <c:v>0.20739578230706995</c:v>
                </c:pt>
                <c:pt idx="114">
                  <c:v>0.20903454923317444</c:v>
                </c:pt>
                <c:pt idx="115">
                  <c:v>0.2100679007711293</c:v>
                </c:pt>
                <c:pt idx="116">
                  <c:v>0.2110430037706926</c:v>
                </c:pt>
                <c:pt idx="117">
                  <c:v>0.21166259776845942</c:v>
                </c:pt>
                <c:pt idx="118">
                  <c:v>0.21302732872064442</c:v>
                </c:pt>
                <c:pt idx="119">
                  <c:v>0.21421932506277169</c:v>
                </c:pt>
                <c:pt idx="120">
                  <c:v>0.21470230412645772</c:v>
                </c:pt>
                <c:pt idx="121">
                  <c:v>0.21633869899022176</c:v>
                </c:pt>
                <c:pt idx="122">
                  <c:v>0.21788884521088842</c:v>
                </c:pt>
                <c:pt idx="123">
                  <c:v>0.21849315625975013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E9-CE43-A160-6CA843BD5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507504"/>
        <c:axId val="461838784"/>
      </c:lineChart>
      <c:dateAx>
        <c:axId val="870410800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634656"/>
        <c:crosses val="autoZero"/>
        <c:auto val="1"/>
        <c:lblOffset val="100"/>
        <c:baseTimeUnit val="months"/>
        <c:majorUnit val="1"/>
        <c:majorTimeUnit val="years"/>
      </c:dateAx>
      <c:valAx>
        <c:axId val="468634656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Unit Labor Costm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410800"/>
        <c:crosses val="autoZero"/>
        <c:crossBetween val="between"/>
        <c:majorUnit val="0.2"/>
      </c:valAx>
      <c:valAx>
        <c:axId val="46183878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</a:t>
                </a:r>
                <a:r>
                  <a:rPr lang="en-US" baseline="0"/>
                  <a:t> of 55-54 in Labor Force,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0507504"/>
        <c:crosses val="max"/>
        <c:crossBetween val="between"/>
      </c:valAx>
      <c:dateAx>
        <c:axId val="870507504"/>
        <c:scaling>
          <c:orientation val="minMax"/>
        </c:scaling>
        <c:delete val="1"/>
        <c:axPos val="b"/>
        <c:numFmt formatCode="yyyy\-mm\-dd" sourceLinked="1"/>
        <c:majorTickMark val="out"/>
        <c:minorTickMark val="none"/>
        <c:tickLblPos val="nextTo"/>
        <c:crossAx val="46183878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Real</a:t>
            </a:r>
            <a:r>
              <a:rPr lang="en-US" baseline="0"/>
              <a:t> Public Investment in Japan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Real 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DATA!$A$2:$A$125</c:f>
              <c:numCache>
                <c:formatCode>yyyy\-mm\-dd</c:formatCode>
                <c:ptCount val="124"/>
                <c:pt idx="0">
                  <c:v>34335</c:v>
                </c:pt>
                <c:pt idx="1">
                  <c:v>34425</c:v>
                </c:pt>
                <c:pt idx="2">
                  <c:v>34516</c:v>
                </c:pt>
                <c:pt idx="3">
                  <c:v>34608</c:v>
                </c:pt>
                <c:pt idx="4">
                  <c:v>34700</c:v>
                </c:pt>
                <c:pt idx="5">
                  <c:v>34790</c:v>
                </c:pt>
                <c:pt idx="6">
                  <c:v>34881</c:v>
                </c:pt>
                <c:pt idx="7">
                  <c:v>34973</c:v>
                </c:pt>
                <c:pt idx="8">
                  <c:v>35065</c:v>
                </c:pt>
                <c:pt idx="9">
                  <c:v>35156</c:v>
                </c:pt>
                <c:pt idx="10">
                  <c:v>35247</c:v>
                </c:pt>
                <c:pt idx="11">
                  <c:v>35339</c:v>
                </c:pt>
                <c:pt idx="12">
                  <c:v>35431</c:v>
                </c:pt>
                <c:pt idx="13">
                  <c:v>35521</c:v>
                </c:pt>
                <c:pt idx="14">
                  <c:v>35612</c:v>
                </c:pt>
                <c:pt idx="15">
                  <c:v>35704</c:v>
                </c:pt>
                <c:pt idx="16">
                  <c:v>35796</c:v>
                </c:pt>
                <c:pt idx="17">
                  <c:v>35886</c:v>
                </c:pt>
                <c:pt idx="18">
                  <c:v>35977</c:v>
                </c:pt>
                <c:pt idx="19">
                  <c:v>36069</c:v>
                </c:pt>
                <c:pt idx="20">
                  <c:v>36161</c:v>
                </c:pt>
                <c:pt idx="21">
                  <c:v>36251</c:v>
                </c:pt>
                <c:pt idx="22">
                  <c:v>36342</c:v>
                </c:pt>
                <c:pt idx="23">
                  <c:v>36434</c:v>
                </c:pt>
                <c:pt idx="24">
                  <c:v>36526</c:v>
                </c:pt>
                <c:pt idx="25">
                  <c:v>36617</c:v>
                </c:pt>
                <c:pt idx="26">
                  <c:v>36708</c:v>
                </c:pt>
                <c:pt idx="27">
                  <c:v>36800</c:v>
                </c:pt>
                <c:pt idx="28">
                  <c:v>36892</c:v>
                </c:pt>
                <c:pt idx="29">
                  <c:v>36982</c:v>
                </c:pt>
                <c:pt idx="30">
                  <c:v>37073</c:v>
                </c:pt>
                <c:pt idx="31">
                  <c:v>37165</c:v>
                </c:pt>
                <c:pt idx="32">
                  <c:v>37257</c:v>
                </c:pt>
                <c:pt idx="33">
                  <c:v>37347</c:v>
                </c:pt>
                <c:pt idx="34">
                  <c:v>37438</c:v>
                </c:pt>
                <c:pt idx="35">
                  <c:v>37530</c:v>
                </c:pt>
                <c:pt idx="36">
                  <c:v>37622</c:v>
                </c:pt>
                <c:pt idx="37">
                  <c:v>37712</c:v>
                </c:pt>
                <c:pt idx="38">
                  <c:v>37803</c:v>
                </c:pt>
                <c:pt idx="39">
                  <c:v>37895</c:v>
                </c:pt>
                <c:pt idx="40">
                  <c:v>37987</c:v>
                </c:pt>
                <c:pt idx="41">
                  <c:v>38078</c:v>
                </c:pt>
                <c:pt idx="42">
                  <c:v>38169</c:v>
                </c:pt>
                <c:pt idx="43">
                  <c:v>38261</c:v>
                </c:pt>
                <c:pt idx="44">
                  <c:v>38353</c:v>
                </c:pt>
                <c:pt idx="45">
                  <c:v>38443</c:v>
                </c:pt>
                <c:pt idx="46">
                  <c:v>38534</c:v>
                </c:pt>
                <c:pt idx="47">
                  <c:v>38626</c:v>
                </c:pt>
                <c:pt idx="48">
                  <c:v>38718</c:v>
                </c:pt>
                <c:pt idx="49">
                  <c:v>38808</c:v>
                </c:pt>
                <c:pt idx="50">
                  <c:v>38899</c:v>
                </c:pt>
                <c:pt idx="51">
                  <c:v>38991</c:v>
                </c:pt>
                <c:pt idx="52">
                  <c:v>39083</c:v>
                </c:pt>
                <c:pt idx="53">
                  <c:v>39173</c:v>
                </c:pt>
                <c:pt idx="54">
                  <c:v>39264</c:v>
                </c:pt>
                <c:pt idx="55">
                  <c:v>39356</c:v>
                </c:pt>
                <c:pt idx="56">
                  <c:v>39448</c:v>
                </c:pt>
                <c:pt idx="57">
                  <c:v>39539</c:v>
                </c:pt>
                <c:pt idx="58">
                  <c:v>39630</c:v>
                </c:pt>
                <c:pt idx="59">
                  <c:v>39722</c:v>
                </c:pt>
                <c:pt idx="60">
                  <c:v>39814</c:v>
                </c:pt>
                <c:pt idx="61">
                  <c:v>39904</c:v>
                </c:pt>
                <c:pt idx="62">
                  <c:v>39995</c:v>
                </c:pt>
                <c:pt idx="63">
                  <c:v>40087</c:v>
                </c:pt>
                <c:pt idx="64">
                  <c:v>40179</c:v>
                </c:pt>
                <c:pt idx="65">
                  <c:v>40269</c:v>
                </c:pt>
                <c:pt idx="66">
                  <c:v>40360</c:v>
                </c:pt>
                <c:pt idx="67">
                  <c:v>40452</c:v>
                </c:pt>
                <c:pt idx="68">
                  <c:v>40544</c:v>
                </c:pt>
                <c:pt idx="69">
                  <c:v>40634</c:v>
                </c:pt>
                <c:pt idx="70">
                  <c:v>40725</c:v>
                </c:pt>
                <c:pt idx="71">
                  <c:v>40817</c:v>
                </c:pt>
                <c:pt idx="72">
                  <c:v>40909</c:v>
                </c:pt>
                <c:pt idx="73">
                  <c:v>41000</c:v>
                </c:pt>
                <c:pt idx="74">
                  <c:v>41091</c:v>
                </c:pt>
                <c:pt idx="75">
                  <c:v>41183</c:v>
                </c:pt>
                <c:pt idx="76">
                  <c:v>41275</c:v>
                </c:pt>
                <c:pt idx="77">
                  <c:v>41365</c:v>
                </c:pt>
                <c:pt idx="78">
                  <c:v>41456</c:v>
                </c:pt>
                <c:pt idx="79">
                  <c:v>41548</c:v>
                </c:pt>
                <c:pt idx="80">
                  <c:v>41640</c:v>
                </c:pt>
                <c:pt idx="81">
                  <c:v>41730</c:v>
                </c:pt>
                <c:pt idx="82">
                  <c:v>41821</c:v>
                </c:pt>
                <c:pt idx="83">
                  <c:v>41913</c:v>
                </c:pt>
                <c:pt idx="84">
                  <c:v>42005</c:v>
                </c:pt>
                <c:pt idx="85">
                  <c:v>42095</c:v>
                </c:pt>
                <c:pt idx="86">
                  <c:v>42186</c:v>
                </c:pt>
                <c:pt idx="87">
                  <c:v>42278</c:v>
                </c:pt>
                <c:pt idx="88">
                  <c:v>42370</c:v>
                </c:pt>
                <c:pt idx="89">
                  <c:v>42461</c:v>
                </c:pt>
                <c:pt idx="90">
                  <c:v>42552</c:v>
                </c:pt>
                <c:pt idx="91">
                  <c:v>42644</c:v>
                </c:pt>
                <c:pt idx="92">
                  <c:v>42736</c:v>
                </c:pt>
                <c:pt idx="93">
                  <c:v>42826</c:v>
                </c:pt>
                <c:pt idx="94">
                  <c:v>42917</c:v>
                </c:pt>
                <c:pt idx="95">
                  <c:v>43009</c:v>
                </c:pt>
                <c:pt idx="96">
                  <c:v>43101</c:v>
                </c:pt>
                <c:pt idx="97">
                  <c:v>43191</c:v>
                </c:pt>
                <c:pt idx="98">
                  <c:v>43282</c:v>
                </c:pt>
                <c:pt idx="99">
                  <c:v>43374</c:v>
                </c:pt>
                <c:pt idx="100">
                  <c:v>43466</c:v>
                </c:pt>
                <c:pt idx="101">
                  <c:v>43556</c:v>
                </c:pt>
                <c:pt idx="102">
                  <c:v>43647</c:v>
                </c:pt>
                <c:pt idx="103">
                  <c:v>43739</c:v>
                </c:pt>
                <c:pt idx="104">
                  <c:v>43831</c:v>
                </c:pt>
                <c:pt idx="105">
                  <c:v>43922</c:v>
                </c:pt>
                <c:pt idx="106">
                  <c:v>44013</c:v>
                </c:pt>
                <c:pt idx="107">
                  <c:v>44105</c:v>
                </c:pt>
                <c:pt idx="108">
                  <c:v>44197</c:v>
                </c:pt>
                <c:pt idx="109">
                  <c:v>44287</c:v>
                </c:pt>
                <c:pt idx="110">
                  <c:v>44378</c:v>
                </c:pt>
                <c:pt idx="111">
                  <c:v>44470</c:v>
                </c:pt>
                <c:pt idx="112">
                  <c:v>44562</c:v>
                </c:pt>
                <c:pt idx="113">
                  <c:v>44652</c:v>
                </c:pt>
                <c:pt idx="114">
                  <c:v>44743</c:v>
                </c:pt>
                <c:pt idx="115">
                  <c:v>44835</c:v>
                </c:pt>
                <c:pt idx="116">
                  <c:v>44927</c:v>
                </c:pt>
                <c:pt idx="117">
                  <c:v>45017</c:v>
                </c:pt>
                <c:pt idx="118">
                  <c:v>45108</c:v>
                </c:pt>
                <c:pt idx="119">
                  <c:v>45200</c:v>
                </c:pt>
                <c:pt idx="120">
                  <c:v>45292</c:v>
                </c:pt>
                <c:pt idx="121">
                  <c:v>45383</c:v>
                </c:pt>
                <c:pt idx="122">
                  <c:v>45474</c:v>
                </c:pt>
                <c:pt idx="123">
                  <c:v>45566</c:v>
                </c:pt>
              </c:numCache>
            </c:numRef>
          </c:cat>
          <c:val>
            <c:numRef>
              <c:f>DATA!$D$2:$D$125</c:f>
              <c:numCache>
                <c:formatCode>0.0</c:formatCode>
                <c:ptCount val="124"/>
                <c:pt idx="0">
                  <c:v>47101.5</c:v>
                </c:pt>
                <c:pt idx="1">
                  <c:v>48011.9</c:v>
                </c:pt>
                <c:pt idx="2">
                  <c:v>46297.2</c:v>
                </c:pt>
                <c:pt idx="3">
                  <c:v>45574.1</c:v>
                </c:pt>
                <c:pt idx="4">
                  <c:v>43635.5</c:v>
                </c:pt>
                <c:pt idx="5">
                  <c:v>45415.7</c:v>
                </c:pt>
                <c:pt idx="6">
                  <c:v>48920</c:v>
                </c:pt>
                <c:pt idx="7">
                  <c:v>49120</c:v>
                </c:pt>
                <c:pt idx="8">
                  <c:v>51638.5</c:v>
                </c:pt>
                <c:pt idx="9">
                  <c:v>50911.4</c:v>
                </c:pt>
                <c:pt idx="10">
                  <c:v>48646</c:v>
                </c:pt>
                <c:pt idx="11">
                  <c:v>47467.199999999997</c:v>
                </c:pt>
                <c:pt idx="12">
                  <c:v>46621.9</c:v>
                </c:pt>
                <c:pt idx="13">
                  <c:v>46667.4</c:v>
                </c:pt>
                <c:pt idx="14">
                  <c:v>47109.9</c:v>
                </c:pt>
                <c:pt idx="15">
                  <c:v>44812</c:v>
                </c:pt>
                <c:pt idx="16">
                  <c:v>42221.1</c:v>
                </c:pt>
                <c:pt idx="17">
                  <c:v>41857</c:v>
                </c:pt>
                <c:pt idx="18">
                  <c:v>43794.2</c:v>
                </c:pt>
                <c:pt idx="19">
                  <c:v>48301.8</c:v>
                </c:pt>
                <c:pt idx="20">
                  <c:v>48477.5</c:v>
                </c:pt>
                <c:pt idx="21">
                  <c:v>47691.8</c:v>
                </c:pt>
                <c:pt idx="22">
                  <c:v>46223.199999999997</c:v>
                </c:pt>
                <c:pt idx="23">
                  <c:v>46007.9</c:v>
                </c:pt>
                <c:pt idx="24">
                  <c:v>43484</c:v>
                </c:pt>
                <c:pt idx="25">
                  <c:v>43190.7</c:v>
                </c:pt>
                <c:pt idx="26">
                  <c:v>42385.1</c:v>
                </c:pt>
                <c:pt idx="27">
                  <c:v>41059</c:v>
                </c:pt>
                <c:pt idx="28">
                  <c:v>43067.1</c:v>
                </c:pt>
                <c:pt idx="29">
                  <c:v>40505.599999999999</c:v>
                </c:pt>
                <c:pt idx="30">
                  <c:v>40511.1</c:v>
                </c:pt>
                <c:pt idx="31">
                  <c:v>39542.1</c:v>
                </c:pt>
                <c:pt idx="32">
                  <c:v>40034</c:v>
                </c:pt>
                <c:pt idx="33">
                  <c:v>38943</c:v>
                </c:pt>
                <c:pt idx="34">
                  <c:v>38797.9</c:v>
                </c:pt>
                <c:pt idx="35">
                  <c:v>38216.699999999997</c:v>
                </c:pt>
                <c:pt idx="36">
                  <c:v>36975.300000000003</c:v>
                </c:pt>
                <c:pt idx="37">
                  <c:v>37119.699999999997</c:v>
                </c:pt>
                <c:pt idx="38">
                  <c:v>36093.599999999999</c:v>
                </c:pt>
                <c:pt idx="39">
                  <c:v>35258.699999999997</c:v>
                </c:pt>
                <c:pt idx="40">
                  <c:v>33607.199999999997</c:v>
                </c:pt>
                <c:pt idx="41">
                  <c:v>33433.300000000003</c:v>
                </c:pt>
                <c:pt idx="42">
                  <c:v>32799.9</c:v>
                </c:pt>
                <c:pt idx="43">
                  <c:v>32394</c:v>
                </c:pt>
                <c:pt idx="44">
                  <c:v>31691.599999999999</c:v>
                </c:pt>
                <c:pt idx="45">
                  <c:v>29696.5</c:v>
                </c:pt>
                <c:pt idx="46">
                  <c:v>30164.7</c:v>
                </c:pt>
                <c:pt idx="47">
                  <c:v>29550.799999999999</c:v>
                </c:pt>
                <c:pt idx="48">
                  <c:v>30334.5</c:v>
                </c:pt>
                <c:pt idx="49">
                  <c:v>29165.4</c:v>
                </c:pt>
                <c:pt idx="50">
                  <c:v>27581.9</c:v>
                </c:pt>
                <c:pt idx="51">
                  <c:v>28009.5</c:v>
                </c:pt>
                <c:pt idx="52">
                  <c:v>27791.4</c:v>
                </c:pt>
                <c:pt idx="53">
                  <c:v>27145.9</c:v>
                </c:pt>
                <c:pt idx="54">
                  <c:v>26755.7</c:v>
                </c:pt>
                <c:pt idx="55">
                  <c:v>27315.5</c:v>
                </c:pt>
                <c:pt idx="56">
                  <c:v>26626.799999999999</c:v>
                </c:pt>
                <c:pt idx="57">
                  <c:v>25698.5</c:v>
                </c:pt>
                <c:pt idx="58">
                  <c:v>25614.3</c:v>
                </c:pt>
                <c:pt idx="59">
                  <c:v>25559</c:v>
                </c:pt>
                <c:pt idx="60">
                  <c:v>26345.9</c:v>
                </c:pt>
                <c:pt idx="61">
                  <c:v>28355.200000000001</c:v>
                </c:pt>
                <c:pt idx="62">
                  <c:v>27874.6</c:v>
                </c:pt>
                <c:pt idx="63">
                  <c:v>28253.7</c:v>
                </c:pt>
                <c:pt idx="64">
                  <c:v>28373.7</c:v>
                </c:pt>
                <c:pt idx="65">
                  <c:v>26905.7</c:v>
                </c:pt>
                <c:pt idx="66">
                  <c:v>26616.9</c:v>
                </c:pt>
                <c:pt idx="67">
                  <c:v>26049</c:v>
                </c:pt>
                <c:pt idx="68">
                  <c:v>25611.5</c:v>
                </c:pt>
                <c:pt idx="69">
                  <c:v>26331.8</c:v>
                </c:pt>
                <c:pt idx="70">
                  <c:v>25549.599999999999</c:v>
                </c:pt>
                <c:pt idx="71">
                  <c:v>24703.5</c:v>
                </c:pt>
                <c:pt idx="72">
                  <c:v>26104.1</c:v>
                </c:pt>
                <c:pt idx="73">
                  <c:v>26499.1</c:v>
                </c:pt>
                <c:pt idx="74">
                  <c:v>25952.2</c:v>
                </c:pt>
                <c:pt idx="75">
                  <c:v>25465</c:v>
                </c:pt>
                <c:pt idx="76">
                  <c:v>25834.3</c:v>
                </c:pt>
                <c:pt idx="77">
                  <c:v>26814.7</c:v>
                </c:pt>
                <c:pt idx="78">
                  <c:v>28266.2</c:v>
                </c:pt>
                <c:pt idx="79">
                  <c:v>28749</c:v>
                </c:pt>
                <c:pt idx="80">
                  <c:v>28088.799999999999</c:v>
                </c:pt>
                <c:pt idx="81">
                  <c:v>27125</c:v>
                </c:pt>
                <c:pt idx="82">
                  <c:v>27876</c:v>
                </c:pt>
                <c:pt idx="83">
                  <c:v>28041.8</c:v>
                </c:pt>
                <c:pt idx="84">
                  <c:v>26724.2</c:v>
                </c:pt>
                <c:pt idx="85">
                  <c:v>26500.5</c:v>
                </c:pt>
                <c:pt idx="86">
                  <c:v>26501.200000000001</c:v>
                </c:pt>
                <c:pt idx="87">
                  <c:v>27190.1</c:v>
                </c:pt>
                <c:pt idx="88">
                  <c:v>27954.1</c:v>
                </c:pt>
                <c:pt idx="89">
                  <c:v>27128.3</c:v>
                </c:pt>
                <c:pt idx="90">
                  <c:v>27189.4</c:v>
                </c:pt>
                <c:pt idx="91">
                  <c:v>27222.400000000001</c:v>
                </c:pt>
                <c:pt idx="92">
                  <c:v>27482</c:v>
                </c:pt>
                <c:pt idx="93">
                  <c:v>27755.5</c:v>
                </c:pt>
                <c:pt idx="94">
                  <c:v>27204.6</c:v>
                </c:pt>
                <c:pt idx="95">
                  <c:v>27294.7</c:v>
                </c:pt>
                <c:pt idx="96">
                  <c:v>27568.7</c:v>
                </c:pt>
                <c:pt idx="97">
                  <c:v>27881.5</c:v>
                </c:pt>
                <c:pt idx="98">
                  <c:v>27668.799999999999</c:v>
                </c:pt>
                <c:pt idx="99">
                  <c:v>27266.799999999999</c:v>
                </c:pt>
                <c:pt idx="100">
                  <c:v>27896.5</c:v>
                </c:pt>
                <c:pt idx="101">
                  <c:v>28320.5</c:v>
                </c:pt>
                <c:pt idx="102">
                  <c:v>28133</c:v>
                </c:pt>
                <c:pt idx="103">
                  <c:v>28046.5</c:v>
                </c:pt>
                <c:pt idx="104">
                  <c:v>27983.1</c:v>
                </c:pt>
                <c:pt idx="105">
                  <c:v>29862.400000000001</c:v>
                </c:pt>
                <c:pt idx="106">
                  <c:v>29343.5</c:v>
                </c:pt>
                <c:pt idx="107">
                  <c:v>29470.799999999999</c:v>
                </c:pt>
                <c:pt idx="108">
                  <c:v>29269.4</c:v>
                </c:pt>
                <c:pt idx="109">
                  <c:v>28497.200000000001</c:v>
                </c:pt>
                <c:pt idx="110">
                  <c:v>28016.3</c:v>
                </c:pt>
                <c:pt idx="111">
                  <c:v>27659.7</c:v>
                </c:pt>
                <c:pt idx="112">
                  <c:v>26506.3</c:v>
                </c:pt>
                <c:pt idx="113">
                  <c:v>25623.7</c:v>
                </c:pt>
                <c:pt idx="114">
                  <c:v>25822.7</c:v>
                </c:pt>
                <c:pt idx="115">
                  <c:v>25992.799999999999</c:v>
                </c:pt>
                <c:pt idx="116">
                  <c:v>26791.3</c:v>
                </c:pt>
                <c:pt idx="117">
                  <c:v>26830.9</c:v>
                </c:pt>
                <c:pt idx="118">
                  <c:v>26303.9</c:v>
                </c:pt>
                <c:pt idx="119">
                  <c:v>25838.5</c:v>
                </c:pt>
                <c:pt idx="120">
                  <c:v>25311.5</c:v>
                </c:pt>
                <c:pt idx="121">
                  <c:v>26763.4</c:v>
                </c:pt>
                <c:pt idx="122">
                  <c:v>26461</c:v>
                </c:pt>
                <c:pt idx="123">
                  <c:v>26373.1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BB-7D4A-AF72-E5D1A15B6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920064"/>
        <c:axId val="452450352"/>
      </c:lineChart>
      <c:dateAx>
        <c:axId val="433920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50352"/>
        <c:crosses val="autoZero"/>
        <c:auto val="1"/>
        <c:lblOffset val="100"/>
        <c:baseTimeUnit val="months"/>
        <c:majorUnit val="1"/>
        <c:majorTimeUnit val="years"/>
      </c:dateAx>
      <c:valAx>
        <c:axId val="452450352"/>
        <c:scaling>
          <c:orientation val="minMax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Investment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2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Public</a:t>
            </a:r>
            <a:r>
              <a:rPr lang="en-US" baseline="0"/>
              <a:t> Investment vs GDP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R.GDP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olid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484672151407083E-2"/>
                  <c:y val="-0.2857727071087944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DATA!$D$2:$D$125</c:f>
              <c:numCache>
                <c:formatCode>0.0</c:formatCode>
                <c:ptCount val="124"/>
                <c:pt idx="0">
                  <c:v>47101.5</c:v>
                </c:pt>
                <c:pt idx="1">
                  <c:v>48011.9</c:v>
                </c:pt>
                <c:pt idx="2">
                  <c:v>46297.2</c:v>
                </c:pt>
                <c:pt idx="3">
                  <c:v>45574.1</c:v>
                </c:pt>
                <c:pt idx="4">
                  <c:v>43635.5</c:v>
                </c:pt>
                <c:pt idx="5">
                  <c:v>45415.7</c:v>
                </c:pt>
                <c:pt idx="6">
                  <c:v>48920</c:v>
                </c:pt>
                <c:pt idx="7">
                  <c:v>49120</c:v>
                </c:pt>
                <c:pt idx="8">
                  <c:v>51638.5</c:v>
                </c:pt>
                <c:pt idx="9">
                  <c:v>50911.4</c:v>
                </c:pt>
                <c:pt idx="10">
                  <c:v>48646</c:v>
                </c:pt>
                <c:pt idx="11">
                  <c:v>47467.199999999997</c:v>
                </c:pt>
                <c:pt idx="12">
                  <c:v>46621.9</c:v>
                </c:pt>
                <c:pt idx="13">
                  <c:v>46667.4</c:v>
                </c:pt>
                <c:pt idx="14">
                  <c:v>47109.9</c:v>
                </c:pt>
                <c:pt idx="15">
                  <c:v>44812</c:v>
                </c:pt>
                <c:pt idx="16">
                  <c:v>42221.1</c:v>
                </c:pt>
                <c:pt idx="17">
                  <c:v>41857</c:v>
                </c:pt>
                <c:pt idx="18">
                  <c:v>43794.2</c:v>
                </c:pt>
                <c:pt idx="19">
                  <c:v>48301.8</c:v>
                </c:pt>
                <c:pt idx="20">
                  <c:v>48477.5</c:v>
                </c:pt>
                <c:pt idx="21">
                  <c:v>47691.8</c:v>
                </c:pt>
                <c:pt idx="22">
                  <c:v>46223.199999999997</c:v>
                </c:pt>
                <c:pt idx="23">
                  <c:v>46007.9</c:v>
                </c:pt>
                <c:pt idx="24">
                  <c:v>43484</c:v>
                </c:pt>
                <c:pt idx="25">
                  <c:v>43190.7</c:v>
                </c:pt>
                <c:pt idx="26">
                  <c:v>42385.1</c:v>
                </c:pt>
                <c:pt idx="27">
                  <c:v>41059</c:v>
                </c:pt>
                <c:pt idx="28">
                  <c:v>43067.1</c:v>
                </c:pt>
                <c:pt idx="29">
                  <c:v>40505.599999999999</c:v>
                </c:pt>
                <c:pt idx="30">
                  <c:v>40511.1</c:v>
                </c:pt>
                <c:pt idx="31">
                  <c:v>39542.1</c:v>
                </c:pt>
                <c:pt idx="32">
                  <c:v>40034</c:v>
                </c:pt>
                <c:pt idx="33">
                  <c:v>38943</c:v>
                </c:pt>
                <c:pt idx="34">
                  <c:v>38797.9</c:v>
                </c:pt>
                <c:pt idx="35">
                  <c:v>38216.699999999997</c:v>
                </c:pt>
                <c:pt idx="36">
                  <c:v>36975.300000000003</c:v>
                </c:pt>
                <c:pt idx="37">
                  <c:v>37119.699999999997</c:v>
                </c:pt>
                <c:pt idx="38">
                  <c:v>36093.599999999999</c:v>
                </c:pt>
                <c:pt idx="39">
                  <c:v>35258.699999999997</c:v>
                </c:pt>
                <c:pt idx="40">
                  <c:v>33607.199999999997</c:v>
                </c:pt>
                <c:pt idx="41">
                  <c:v>33433.300000000003</c:v>
                </c:pt>
                <c:pt idx="42">
                  <c:v>32799.9</c:v>
                </c:pt>
                <c:pt idx="43">
                  <c:v>32394</c:v>
                </c:pt>
                <c:pt idx="44">
                  <c:v>31691.599999999999</c:v>
                </c:pt>
                <c:pt idx="45">
                  <c:v>29696.5</c:v>
                </c:pt>
                <c:pt idx="46">
                  <c:v>30164.7</c:v>
                </c:pt>
                <c:pt idx="47">
                  <c:v>29550.799999999999</c:v>
                </c:pt>
                <c:pt idx="48">
                  <c:v>30334.5</c:v>
                </c:pt>
                <c:pt idx="49">
                  <c:v>29165.4</c:v>
                </c:pt>
                <c:pt idx="50">
                  <c:v>27581.9</c:v>
                </c:pt>
                <c:pt idx="51">
                  <c:v>28009.5</c:v>
                </c:pt>
                <c:pt idx="52">
                  <c:v>27791.4</c:v>
                </c:pt>
                <c:pt idx="53">
                  <c:v>27145.9</c:v>
                </c:pt>
                <c:pt idx="54">
                  <c:v>26755.7</c:v>
                </c:pt>
                <c:pt idx="55">
                  <c:v>27315.5</c:v>
                </c:pt>
                <c:pt idx="56">
                  <c:v>26626.799999999999</c:v>
                </c:pt>
                <c:pt idx="57">
                  <c:v>25698.5</c:v>
                </c:pt>
                <c:pt idx="58">
                  <c:v>25614.3</c:v>
                </c:pt>
                <c:pt idx="59">
                  <c:v>25559</c:v>
                </c:pt>
                <c:pt idx="60">
                  <c:v>26345.9</c:v>
                </c:pt>
                <c:pt idx="61">
                  <c:v>28355.200000000001</c:v>
                </c:pt>
                <c:pt idx="62">
                  <c:v>27874.6</c:v>
                </c:pt>
                <c:pt idx="63">
                  <c:v>28253.7</c:v>
                </c:pt>
                <c:pt idx="64">
                  <c:v>28373.7</c:v>
                </c:pt>
                <c:pt idx="65">
                  <c:v>26905.7</c:v>
                </c:pt>
                <c:pt idx="66">
                  <c:v>26616.9</c:v>
                </c:pt>
                <c:pt idx="67">
                  <c:v>26049</c:v>
                </c:pt>
                <c:pt idx="68">
                  <c:v>25611.5</c:v>
                </c:pt>
                <c:pt idx="69">
                  <c:v>26331.8</c:v>
                </c:pt>
                <c:pt idx="70">
                  <c:v>25549.599999999999</c:v>
                </c:pt>
                <c:pt idx="71">
                  <c:v>24703.5</c:v>
                </c:pt>
                <c:pt idx="72">
                  <c:v>26104.1</c:v>
                </c:pt>
                <c:pt idx="73">
                  <c:v>26499.1</c:v>
                </c:pt>
                <c:pt idx="74">
                  <c:v>25952.2</c:v>
                </c:pt>
                <c:pt idx="75">
                  <c:v>25465</c:v>
                </c:pt>
                <c:pt idx="76">
                  <c:v>25834.3</c:v>
                </c:pt>
                <c:pt idx="77">
                  <c:v>26814.7</c:v>
                </c:pt>
                <c:pt idx="78">
                  <c:v>28266.2</c:v>
                </c:pt>
                <c:pt idx="79">
                  <c:v>28749</c:v>
                </c:pt>
                <c:pt idx="80">
                  <c:v>28088.799999999999</c:v>
                </c:pt>
                <c:pt idx="81">
                  <c:v>27125</c:v>
                </c:pt>
                <c:pt idx="82">
                  <c:v>27876</c:v>
                </c:pt>
                <c:pt idx="83">
                  <c:v>28041.8</c:v>
                </c:pt>
                <c:pt idx="84">
                  <c:v>26724.2</c:v>
                </c:pt>
                <c:pt idx="85">
                  <c:v>26500.5</c:v>
                </c:pt>
                <c:pt idx="86">
                  <c:v>26501.200000000001</c:v>
                </c:pt>
                <c:pt idx="87">
                  <c:v>27190.1</c:v>
                </c:pt>
                <c:pt idx="88">
                  <c:v>27954.1</c:v>
                </c:pt>
                <c:pt idx="89">
                  <c:v>27128.3</c:v>
                </c:pt>
                <c:pt idx="90">
                  <c:v>27189.4</c:v>
                </c:pt>
                <c:pt idx="91">
                  <c:v>27222.400000000001</c:v>
                </c:pt>
                <c:pt idx="92">
                  <c:v>27482</c:v>
                </c:pt>
                <c:pt idx="93">
                  <c:v>27755.5</c:v>
                </c:pt>
                <c:pt idx="94">
                  <c:v>27204.6</c:v>
                </c:pt>
                <c:pt idx="95">
                  <c:v>27294.7</c:v>
                </c:pt>
                <c:pt idx="96">
                  <c:v>27568.7</c:v>
                </c:pt>
                <c:pt idx="97">
                  <c:v>27881.5</c:v>
                </c:pt>
                <c:pt idx="98">
                  <c:v>27668.799999999999</c:v>
                </c:pt>
                <c:pt idx="99">
                  <c:v>27266.799999999999</c:v>
                </c:pt>
                <c:pt idx="100">
                  <c:v>27896.5</c:v>
                </c:pt>
                <c:pt idx="101">
                  <c:v>28320.5</c:v>
                </c:pt>
                <c:pt idx="102">
                  <c:v>28133</c:v>
                </c:pt>
                <c:pt idx="103">
                  <c:v>28046.5</c:v>
                </c:pt>
                <c:pt idx="104">
                  <c:v>27983.1</c:v>
                </c:pt>
                <c:pt idx="105">
                  <c:v>29862.400000000001</c:v>
                </c:pt>
                <c:pt idx="106">
                  <c:v>29343.5</c:v>
                </c:pt>
                <c:pt idx="107">
                  <c:v>29470.799999999999</c:v>
                </c:pt>
                <c:pt idx="108">
                  <c:v>29269.4</c:v>
                </c:pt>
                <c:pt idx="109">
                  <c:v>28497.200000000001</c:v>
                </c:pt>
                <c:pt idx="110">
                  <c:v>28016.3</c:v>
                </c:pt>
                <c:pt idx="111">
                  <c:v>27659.7</c:v>
                </c:pt>
                <c:pt idx="112">
                  <c:v>26506.3</c:v>
                </c:pt>
                <c:pt idx="113">
                  <c:v>25623.7</c:v>
                </c:pt>
                <c:pt idx="114">
                  <c:v>25822.7</c:v>
                </c:pt>
                <c:pt idx="115">
                  <c:v>25992.799999999999</c:v>
                </c:pt>
                <c:pt idx="116">
                  <c:v>26791.3</c:v>
                </c:pt>
                <c:pt idx="117">
                  <c:v>26830.9</c:v>
                </c:pt>
                <c:pt idx="118">
                  <c:v>26303.9</c:v>
                </c:pt>
                <c:pt idx="119">
                  <c:v>25838.5</c:v>
                </c:pt>
                <c:pt idx="120">
                  <c:v>25311.5</c:v>
                </c:pt>
                <c:pt idx="121">
                  <c:v>26763.4</c:v>
                </c:pt>
                <c:pt idx="122">
                  <c:v>26461</c:v>
                </c:pt>
                <c:pt idx="123">
                  <c:v>26373.1</c:v>
                </c:pt>
              </c:numCache>
            </c:numRef>
          </c:xVal>
          <c:yVal>
            <c:numRef>
              <c:f>DATA!$G$2:$G$125</c:f>
              <c:numCache>
                <c:formatCode>General</c:formatCode>
                <c:ptCount val="124"/>
                <c:pt idx="0">
                  <c:v>1104558.9660129505</c:v>
                </c:pt>
                <c:pt idx="1">
                  <c:v>1098600.9438373018</c:v>
                </c:pt>
                <c:pt idx="2">
                  <c:v>1111165.4723156479</c:v>
                </c:pt>
                <c:pt idx="3">
                  <c:v>1106885.9681729998</c:v>
                </c:pt>
                <c:pt idx="4">
                  <c:v>1118907.9149644978</c:v>
                </c:pt>
                <c:pt idx="5">
                  <c:v>1129620.6953150826</c:v>
                </c:pt>
                <c:pt idx="6">
                  <c:v>1142808.2026207438</c:v>
                </c:pt>
                <c:pt idx="7">
                  <c:v>1145706.3017095765</c:v>
                </c:pt>
                <c:pt idx="8">
                  <c:v>1155052.1722543258</c:v>
                </c:pt>
                <c:pt idx="9">
                  <c:v>1169744.2546171769</c:v>
                </c:pt>
                <c:pt idx="10">
                  <c:v>1171199.4824640106</c:v>
                </c:pt>
                <c:pt idx="11">
                  <c:v>1184314.9887837863</c:v>
                </c:pt>
                <c:pt idx="12">
                  <c:v>1187076.3731293357</c:v>
                </c:pt>
                <c:pt idx="13">
                  <c:v>1178485.2059878428</c:v>
                </c:pt>
                <c:pt idx="14">
                  <c:v>1180718.899939551</c:v>
                </c:pt>
                <c:pt idx="15">
                  <c:v>1181193.6787177918</c:v>
                </c:pt>
                <c:pt idx="16">
                  <c:v>1166595.4590263248</c:v>
                </c:pt>
                <c:pt idx="17">
                  <c:v>1161721.0952532643</c:v>
                </c:pt>
                <c:pt idx="18">
                  <c:v>1163735.2218420641</c:v>
                </c:pt>
                <c:pt idx="19">
                  <c:v>1173082.3597308947</c:v>
                </c:pt>
                <c:pt idx="20">
                  <c:v>1156834.9293384089</c:v>
                </c:pt>
                <c:pt idx="21">
                  <c:v>1161394.5957330884</c:v>
                </c:pt>
                <c:pt idx="22">
                  <c:v>1167534.0857400724</c:v>
                </c:pt>
                <c:pt idx="23">
                  <c:v>1167902.645242105</c:v>
                </c:pt>
                <c:pt idx="24">
                  <c:v>1188067.7530406672</c:v>
                </c:pt>
                <c:pt idx="25">
                  <c:v>1193396.776504596</c:v>
                </c:pt>
                <c:pt idx="26">
                  <c:v>1193734.2068675156</c:v>
                </c:pt>
                <c:pt idx="27">
                  <c:v>1205255.8695810402</c:v>
                </c:pt>
                <c:pt idx="28">
                  <c:v>1214243.6362124674</c:v>
                </c:pt>
                <c:pt idx="29">
                  <c:v>1205093.4911200115</c:v>
                </c:pt>
                <c:pt idx="30">
                  <c:v>1192103.2142377393</c:v>
                </c:pt>
                <c:pt idx="31">
                  <c:v>1187858.7996844728</c:v>
                </c:pt>
                <c:pt idx="32">
                  <c:v>1189970.0365138706</c:v>
                </c:pt>
                <c:pt idx="33">
                  <c:v>1199468.1467669588</c:v>
                </c:pt>
                <c:pt idx="34">
                  <c:v>1203448.1616602661</c:v>
                </c:pt>
                <c:pt idx="35">
                  <c:v>1206693.9882827175</c:v>
                </c:pt>
                <c:pt idx="36">
                  <c:v>1207441.0084124464</c:v>
                </c:pt>
                <c:pt idx="37">
                  <c:v>1215627.8135814741</c:v>
                </c:pt>
                <c:pt idx="38">
                  <c:v>1219412.4990675228</c:v>
                </c:pt>
                <c:pt idx="39">
                  <c:v>1232654.2645418784</c:v>
                </c:pt>
                <c:pt idx="40">
                  <c:v>1241965.2831242573</c:v>
                </c:pt>
                <c:pt idx="41">
                  <c:v>1241747.6959864725</c:v>
                </c:pt>
                <c:pt idx="42">
                  <c:v>1249485.7029310241</c:v>
                </c:pt>
                <c:pt idx="43">
                  <c:v>1247148.2451822674</c:v>
                </c:pt>
                <c:pt idx="44">
                  <c:v>1253443.6185118421</c:v>
                </c:pt>
                <c:pt idx="45">
                  <c:v>1263157.6525135916</c:v>
                </c:pt>
                <c:pt idx="46">
                  <c:v>1275999.1748837486</c:v>
                </c:pt>
                <c:pt idx="47">
                  <c:v>1278369.9796237792</c:v>
                </c:pt>
                <c:pt idx="48">
                  <c:v>1280273.2136050353</c:v>
                </c:pt>
                <c:pt idx="49">
                  <c:v>1282174.7049881825</c:v>
                </c:pt>
                <c:pt idx="50">
                  <c:v>1279641.0465331059</c:v>
                </c:pt>
                <c:pt idx="51">
                  <c:v>1297134.8306252407</c:v>
                </c:pt>
                <c:pt idx="52">
                  <c:v>1305515.3810214221</c:v>
                </c:pt>
                <c:pt idx="53">
                  <c:v>1305957.2088534315</c:v>
                </c:pt>
                <c:pt idx="54">
                  <c:v>1298897.9438759866</c:v>
                </c:pt>
                <c:pt idx="55">
                  <c:v>1304763.3707243484</c:v>
                </c:pt>
                <c:pt idx="56">
                  <c:v>1309513.2179409517</c:v>
                </c:pt>
                <c:pt idx="57">
                  <c:v>1301582.6539043223</c:v>
                </c:pt>
                <c:pt idx="58">
                  <c:v>1285446.8290004153</c:v>
                </c:pt>
                <c:pt idx="59">
                  <c:v>1253848.8517833585</c:v>
                </c:pt>
                <c:pt idx="60">
                  <c:v>1193233.922789546</c:v>
                </c:pt>
                <c:pt idx="61">
                  <c:v>1216824.10718973</c:v>
                </c:pt>
                <c:pt idx="62">
                  <c:v>1216297.3673039526</c:v>
                </c:pt>
                <c:pt idx="63">
                  <c:v>1231394.8413563366</c:v>
                </c:pt>
                <c:pt idx="64">
                  <c:v>1244080.1635678899</c:v>
                </c:pt>
                <c:pt idx="65">
                  <c:v>1259308.5701061634</c:v>
                </c:pt>
                <c:pt idx="66">
                  <c:v>1281969.3160372323</c:v>
                </c:pt>
                <c:pt idx="67">
                  <c:v>1271685.4524507774</c:v>
                </c:pt>
                <c:pt idx="68">
                  <c:v>1257984.2747452271</c:v>
                </c:pt>
                <c:pt idx="69">
                  <c:v>1247343.8122165529</c:v>
                </c:pt>
                <c:pt idx="70">
                  <c:v>1277478.1654322045</c:v>
                </c:pt>
                <c:pt idx="71">
                  <c:v>1276022.1454953153</c:v>
                </c:pt>
                <c:pt idx="72">
                  <c:v>1293682.3477077524</c:v>
                </c:pt>
                <c:pt idx="73">
                  <c:v>1281722.0255224374</c:v>
                </c:pt>
                <c:pt idx="74">
                  <c:v>1276748.8881196743</c:v>
                </c:pt>
                <c:pt idx="75">
                  <c:v>1276267.4557849762</c:v>
                </c:pt>
                <c:pt idx="76">
                  <c:v>1293376.600946987</c:v>
                </c:pt>
                <c:pt idx="77">
                  <c:v>1305218.109624234</c:v>
                </c:pt>
                <c:pt idx="78">
                  <c:v>1317773.7666939837</c:v>
                </c:pt>
                <c:pt idx="79">
                  <c:v>1316522.9772900322</c:v>
                </c:pt>
                <c:pt idx="80">
                  <c:v>1326533.9658529542</c:v>
                </c:pt>
                <c:pt idx="81">
                  <c:v>1302938.1576133848</c:v>
                </c:pt>
                <c:pt idx="82">
                  <c:v>1304179.5211456947</c:v>
                </c:pt>
                <c:pt idx="83">
                  <c:v>1310398.3785760647</c:v>
                </c:pt>
                <c:pt idx="84">
                  <c:v>1330074.1331393919</c:v>
                </c:pt>
                <c:pt idx="85">
                  <c:v>1332270.2820225542</c:v>
                </c:pt>
                <c:pt idx="86">
                  <c:v>1333797.9069002983</c:v>
                </c:pt>
                <c:pt idx="87">
                  <c:v>1331504.8061945576</c:v>
                </c:pt>
                <c:pt idx="88">
                  <c:v>1341312.148404649</c:v>
                </c:pt>
                <c:pt idx="89">
                  <c:v>1339146.7326155775</c:v>
                </c:pt>
                <c:pt idx="90">
                  <c:v>1342122.2981116755</c:v>
                </c:pt>
                <c:pt idx="91">
                  <c:v>1343926.8376722441</c:v>
                </c:pt>
                <c:pt idx="92">
                  <c:v>1354257.5929898729</c:v>
                </c:pt>
                <c:pt idx="93">
                  <c:v>1359598.8146406326</c:v>
                </c:pt>
                <c:pt idx="94">
                  <c:v>1371482.066463724</c:v>
                </c:pt>
                <c:pt idx="95">
                  <c:v>1372328.4938952047</c:v>
                </c:pt>
                <c:pt idx="96">
                  <c:v>1373306.7251116524</c:v>
                </c:pt>
                <c:pt idx="97">
                  <c:v>1378590.4410245025</c:v>
                </c:pt>
                <c:pt idx="98">
                  <c:v>1371706.8616209948</c:v>
                </c:pt>
                <c:pt idx="99">
                  <c:v>1368483.055102034</c:v>
                </c:pt>
                <c:pt idx="100">
                  <c:v>1371720.3271519018</c:v>
                </c:pt>
                <c:pt idx="101">
                  <c:v>1377799.6183147973</c:v>
                </c:pt>
                <c:pt idx="102">
                  <c:v>1380366.6237611382</c:v>
                </c:pt>
                <c:pt idx="103">
                  <c:v>1340372.0959288115</c:v>
                </c:pt>
                <c:pt idx="104">
                  <c:v>1347638.2548283129</c:v>
                </c:pt>
                <c:pt idx="105">
                  <c:v>1245118.5144194164</c:v>
                </c:pt>
                <c:pt idx="106">
                  <c:v>1312371.9501541003</c:v>
                </c:pt>
                <c:pt idx="107">
                  <c:v>1334951.6652726643</c:v>
                </c:pt>
                <c:pt idx="108">
                  <c:v>1338897.8579206739</c:v>
                </c:pt>
                <c:pt idx="109">
                  <c:v>1347596.7493094904</c:v>
                </c:pt>
                <c:pt idx="110">
                  <c:v>1341732.7482232128</c:v>
                </c:pt>
                <c:pt idx="111">
                  <c:v>1357290.8226418898</c:v>
                </c:pt>
                <c:pt idx="112">
                  <c:v>1348538.0691294181</c:v>
                </c:pt>
                <c:pt idx="113">
                  <c:v>1364399.1972026709</c:v>
                </c:pt>
                <c:pt idx="114">
                  <c:v>1358961.6574013694</c:v>
                </c:pt>
                <c:pt idx="115">
                  <c:v>1362894.2261004492</c:v>
                </c:pt>
                <c:pt idx="116">
                  <c:v>1379028.7836602735</c:v>
                </c:pt>
                <c:pt idx="117">
                  <c:v>1387682.3674979992</c:v>
                </c:pt>
                <c:pt idx="118">
                  <c:v>1374318.38252835</c:v>
                </c:pt>
                <c:pt idx="119">
                  <c:v>1374611.9311022931</c:v>
                </c:pt>
                <c:pt idx="120">
                  <c:v>1367492.7841167748</c:v>
                </c:pt>
                <c:pt idx="121">
                  <c:v>1378462.9145258463</c:v>
                </c:pt>
                <c:pt idx="122">
                  <c:v>1383357.2389682482</c:v>
                </c:pt>
                <c:pt idx="123">
                  <c:v>1391050.809660777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AC-E847-AB96-026EBFD39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297984"/>
        <c:axId val="507784064"/>
      </c:scatterChart>
      <c:valAx>
        <c:axId val="422297984"/>
        <c:scaling>
          <c:orientation val="minMax"/>
          <c:max val="53000"/>
          <c:min val="2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Investment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784064"/>
        <c:crosses val="autoZero"/>
        <c:crossBetween val="midCat"/>
      </c:valAx>
      <c:valAx>
        <c:axId val="507784064"/>
        <c:scaling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9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Public</a:t>
            </a:r>
            <a:r>
              <a:rPr lang="en-US" baseline="0"/>
              <a:t> Investment vs GDP: Pre and Post Abenomics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Pre-Abenomics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1660798820087069E-2"/>
                  <c:y val="7.440031702820525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DATA!$W$2:$W$77</c:f>
              <c:numCache>
                <c:formatCode>General</c:formatCode>
                <c:ptCount val="76"/>
                <c:pt idx="0">
                  <c:v>47101.5</c:v>
                </c:pt>
                <c:pt idx="1">
                  <c:v>48011.9</c:v>
                </c:pt>
                <c:pt idx="2">
                  <c:v>46297.2</c:v>
                </c:pt>
                <c:pt idx="3">
                  <c:v>45574.1</c:v>
                </c:pt>
                <c:pt idx="4">
                  <c:v>43635.5</c:v>
                </c:pt>
                <c:pt idx="5">
                  <c:v>45415.7</c:v>
                </c:pt>
                <c:pt idx="6">
                  <c:v>48920</c:v>
                </c:pt>
                <c:pt idx="7">
                  <c:v>49120</c:v>
                </c:pt>
                <c:pt idx="8">
                  <c:v>51638.5</c:v>
                </c:pt>
                <c:pt idx="9">
                  <c:v>50911.4</c:v>
                </c:pt>
                <c:pt idx="10">
                  <c:v>48646</c:v>
                </c:pt>
                <c:pt idx="11">
                  <c:v>47467.199999999997</c:v>
                </c:pt>
                <c:pt idx="12">
                  <c:v>46621.9</c:v>
                </c:pt>
                <c:pt idx="13">
                  <c:v>46667.4</c:v>
                </c:pt>
                <c:pt idx="14">
                  <c:v>47109.9</c:v>
                </c:pt>
                <c:pt idx="15">
                  <c:v>44812</c:v>
                </c:pt>
                <c:pt idx="16">
                  <c:v>42221.1</c:v>
                </c:pt>
                <c:pt idx="17">
                  <c:v>41857</c:v>
                </c:pt>
                <c:pt idx="18">
                  <c:v>43794.2</c:v>
                </c:pt>
                <c:pt idx="19">
                  <c:v>48301.8</c:v>
                </c:pt>
                <c:pt idx="20">
                  <c:v>48477.5</c:v>
                </c:pt>
                <c:pt idx="21">
                  <c:v>47691.8</c:v>
                </c:pt>
                <c:pt idx="22">
                  <c:v>46223.199999999997</c:v>
                </c:pt>
                <c:pt idx="23">
                  <c:v>46007.9</c:v>
                </c:pt>
                <c:pt idx="24">
                  <c:v>43484</c:v>
                </c:pt>
                <c:pt idx="25">
                  <c:v>43190.7</c:v>
                </c:pt>
                <c:pt idx="26">
                  <c:v>42385.1</c:v>
                </c:pt>
                <c:pt idx="27">
                  <c:v>41059</c:v>
                </c:pt>
                <c:pt idx="28">
                  <c:v>43067.1</c:v>
                </c:pt>
                <c:pt idx="29">
                  <c:v>40505.599999999999</c:v>
                </c:pt>
                <c:pt idx="30">
                  <c:v>40511.1</c:v>
                </c:pt>
                <c:pt idx="31">
                  <c:v>39542.1</c:v>
                </c:pt>
                <c:pt idx="32">
                  <c:v>40034</c:v>
                </c:pt>
                <c:pt idx="33">
                  <c:v>38943</c:v>
                </c:pt>
                <c:pt idx="34">
                  <c:v>38797.9</c:v>
                </c:pt>
                <c:pt idx="35">
                  <c:v>38216.699999999997</c:v>
                </c:pt>
                <c:pt idx="36">
                  <c:v>36975.300000000003</c:v>
                </c:pt>
                <c:pt idx="37">
                  <c:v>37119.699999999997</c:v>
                </c:pt>
                <c:pt idx="38">
                  <c:v>36093.599999999999</c:v>
                </c:pt>
                <c:pt idx="39">
                  <c:v>35258.699999999997</c:v>
                </c:pt>
                <c:pt idx="40">
                  <c:v>33607.199999999997</c:v>
                </c:pt>
                <c:pt idx="41">
                  <c:v>33433.300000000003</c:v>
                </c:pt>
                <c:pt idx="42">
                  <c:v>32799.9</c:v>
                </c:pt>
                <c:pt idx="43">
                  <c:v>32394</c:v>
                </c:pt>
                <c:pt idx="44">
                  <c:v>31691.599999999999</c:v>
                </c:pt>
                <c:pt idx="45">
                  <c:v>29696.5</c:v>
                </c:pt>
                <c:pt idx="46">
                  <c:v>30164.7</c:v>
                </c:pt>
                <c:pt idx="47">
                  <c:v>29550.799999999999</c:v>
                </c:pt>
                <c:pt idx="48">
                  <c:v>30334.5</c:v>
                </c:pt>
                <c:pt idx="49">
                  <c:v>29165.4</c:v>
                </c:pt>
                <c:pt idx="50">
                  <c:v>27581.9</c:v>
                </c:pt>
                <c:pt idx="51">
                  <c:v>28009.5</c:v>
                </c:pt>
                <c:pt idx="52">
                  <c:v>27791.4</c:v>
                </c:pt>
                <c:pt idx="53">
                  <c:v>27145.9</c:v>
                </c:pt>
                <c:pt idx="54">
                  <c:v>26755.7</c:v>
                </c:pt>
                <c:pt idx="55">
                  <c:v>27315.5</c:v>
                </c:pt>
                <c:pt idx="56">
                  <c:v>26626.799999999999</c:v>
                </c:pt>
                <c:pt idx="57">
                  <c:v>25698.5</c:v>
                </c:pt>
                <c:pt idx="58">
                  <c:v>25614.3</c:v>
                </c:pt>
                <c:pt idx="59">
                  <c:v>25559</c:v>
                </c:pt>
                <c:pt idx="60">
                  <c:v>26345.9</c:v>
                </c:pt>
                <c:pt idx="61">
                  <c:v>28355.200000000001</c:v>
                </c:pt>
                <c:pt idx="62">
                  <c:v>27874.6</c:v>
                </c:pt>
                <c:pt idx="63">
                  <c:v>28253.7</c:v>
                </c:pt>
                <c:pt idx="64">
                  <c:v>28373.7</c:v>
                </c:pt>
                <c:pt idx="65">
                  <c:v>26905.7</c:v>
                </c:pt>
                <c:pt idx="66">
                  <c:v>26616.9</c:v>
                </c:pt>
                <c:pt idx="67">
                  <c:v>26049</c:v>
                </c:pt>
                <c:pt idx="68">
                  <c:v>25611.5</c:v>
                </c:pt>
                <c:pt idx="69">
                  <c:v>26331.8</c:v>
                </c:pt>
                <c:pt idx="70">
                  <c:v>25549.599999999999</c:v>
                </c:pt>
                <c:pt idx="71">
                  <c:v>24703.5</c:v>
                </c:pt>
                <c:pt idx="72">
                  <c:v>26104.1</c:v>
                </c:pt>
                <c:pt idx="73">
                  <c:v>26499.1</c:v>
                </c:pt>
                <c:pt idx="74">
                  <c:v>25952.2</c:v>
                </c:pt>
                <c:pt idx="75">
                  <c:v>25465</c:v>
                </c:pt>
              </c:numCache>
            </c:numRef>
          </c:xVal>
          <c:yVal>
            <c:numRef>
              <c:f>DATA!$Y$2:$Y$77</c:f>
              <c:numCache>
                <c:formatCode>General</c:formatCode>
                <c:ptCount val="76"/>
                <c:pt idx="0">
                  <c:v>1104558.9660129501</c:v>
                </c:pt>
                <c:pt idx="1">
                  <c:v>1098600.9438373018</c:v>
                </c:pt>
                <c:pt idx="2">
                  <c:v>1111165.4723156479</c:v>
                </c:pt>
                <c:pt idx="3">
                  <c:v>1106885.9681729998</c:v>
                </c:pt>
                <c:pt idx="4">
                  <c:v>1118907.9149644978</c:v>
                </c:pt>
                <c:pt idx="5">
                  <c:v>1129620.6953150826</c:v>
                </c:pt>
                <c:pt idx="6">
                  <c:v>1142808.2026207438</c:v>
                </c:pt>
                <c:pt idx="7">
                  <c:v>1145706.3017095765</c:v>
                </c:pt>
                <c:pt idx="8">
                  <c:v>1155052.1722543258</c:v>
                </c:pt>
                <c:pt idx="9">
                  <c:v>1169744.2546171769</c:v>
                </c:pt>
                <c:pt idx="10">
                  <c:v>1171199.4824640106</c:v>
                </c:pt>
                <c:pt idx="11">
                  <c:v>1184314.9887837863</c:v>
                </c:pt>
                <c:pt idx="12">
                  <c:v>1187076.3731293357</c:v>
                </c:pt>
                <c:pt idx="13">
                  <c:v>1178485.2059878428</c:v>
                </c:pt>
                <c:pt idx="14">
                  <c:v>1180718.899939551</c:v>
                </c:pt>
                <c:pt idx="15">
                  <c:v>1181193.6787177918</c:v>
                </c:pt>
                <c:pt idx="16">
                  <c:v>1166595.4590263248</c:v>
                </c:pt>
                <c:pt idx="17">
                  <c:v>1161721.0952532643</c:v>
                </c:pt>
                <c:pt idx="18">
                  <c:v>1163735.2218420641</c:v>
                </c:pt>
                <c:pt idx="19">
                  <c:v>1173082.3597308947</c:v>
                </c:pt>
                <c:pt idx="20">
                  <c:v>1156834.9293384089</c:v>
                </c:pt>
                <c:pt idx="21">
                  <c:v>1161394.5957330884</c:v>
                </c:pt>
                <c:pt idx="22">
                  <c:v>1167534.0857400724</c:v>
                </c:pt>
                <c:pt idx="23">
                  <c:v>1167902.645242105</c:v>
                </c:pt>
                <c:pt idx="24">
                  <c:v>1188067.7530406672</c:v>
                </c:pt>
                <c:pt idx="25">
                  <c:v>1193396.776504596</c:v>
                </c:pt>
                <c:pt idx="26">
                  <c:v>1193734.2068675156</c:v>
                </c:pt>
                <c:pt idx="27">
                  <c:v>1205255.8695810402</c:v>
                </c:pt>
                <c:pt idx="28">
                  <c:v>1214243.6362124674</c:v>
                </c:pt>
                <c:pt idx="29">
                  <c:v>1205093.4911200115</c:v>
                </c:pt>
                <c:pt idx="30">
                  <c:v>1192103.2142377393</c:v>
                </c:pt>
                <c:pt idx="31">
                  <c:v>1187858.7996844728</c:v>
                </c:pt>
                <c:pt idx="32">
                  <c:v>1189970.0365138706</c:v>
                </c:pt>
                <c:pt idx="33">
                  <c:v>1199468.1467669588</c:v>
                </c:pt>
                <c:pt idx="34">
                  <c:v>1203448.1616602661</c:v>
                </c:pt>
                <c:pt idx="35">
                  <c:v>1206693.9882827175</c:v>
                </c:pt>
                <c:pt idx="36">
                  <c:v>1207441.0084124464</c:v>
                </c:pt>
                <c:pt idx="37">
                  <c:v>1215627.8135814741</c:v>
                </c:pt>
                <c:pt idx="38">
                  <c:v>1219412.4990675228</c:v>
                </c:pt>
                <c:pt idx="39">
                  <c:v>1232654.2645418784</c:v>
                </c:pt>
                <c:pt idx="40">
                  <c:v>1241965.2831242573</c:v>
                </c:pt>
                <c:pt idx="41">
                  <c:v>1241747.6959864725</c:v>
                </c:pt>
                <c:pt idx="42">
                  <c:v>1249485.7029310241</c:v>
                </c:pt>
                <c:pt idx="43">
                  <c:v>1247148.2451822674</c:v>
                </c:pt>
                <c:pt idx="44">
                  <c:v>1253443.6185118421</c:v>
                </c:pt>
                <c:pt idx="45">
                  <c:v>1263157.6525135916</c:v>
                </c:pt>
                <c:pt idx="46">
                  <c:v>1275999.1748837486</c:v>
                </c:pt>
                <c:pt idx="47">
                  <c:v>1278369.9796237792</c:v>
                </c:pt>
                <c:pt idx="48">
                  <c:v>1280273.2136050353</c:v>
                </c:pt>
                <c:pt idx="49">
                  <c:v>1282174.7049881825</c:v>
                </c:pt>
                <c:pt idx="50">
                  <c:v>1279641.0465331059</c:v>
                </c:pt>
                <c:pt idx="51">
                  <c:v>1297134.8306252407</c:v>
                </c:pt>
                <c:pt idx="52">
                  <c:v>1305515.3810214221</c:v>
                </c:pt>
                <c:pt idx="53">
                  <c:v>1305957.2088534315</c:v>
                </c:pt>
                <c:pt idx="54">
                  <c:v>1298897.9438759866</c:v>
                </c:pt>
                <c:pt idx="55">
                  <c:v>1304763.3707243484</c:v>
                </c:pt>
                <c:pt idx="56">
                  <c:v>1309513.2179409517</c:v>
                </c:pt>
                <c:pt idx="57">
                  <c:v>1301582.6539043223</c:v>
                </c:pt>
                <c:pt idx="58">
                  <c:v>1285446.8290004153</c:v>
                </c:pt>
                <c:pt idx="59">
                  <c:v>1253848.8517833585</c:v>
                </c:pt>
                <c:pt idx="60">
                  <c:v>1193233.922789546</c:v>
                </c:pt>
                <c:pt idx="61">
                  <c:v>1216824.10718973</c:v>
                </c:pt>
                <c:pt idx="62">
                  <c:v>1216297.3673039526</c:v>
                </c:pt>
                <c:pt idx="63">
                  <c:v>1231394.8413563366</c:v>
                </c:pt>
                <c:pt idx="64">
                  <c:v>1244080.1635678899</c:v>
                </c:pt>
                <c:pt idx="65">
                  <c:v>1259308.5701061634</c:v>
                </c:pt>
                <c:pt idx="66">
                  <c:v>1281969.3160372323</c:v>
                </c:pt>
                <c:pt idx="67">
                  <c:v>1271685.4524507774</c:v>
                </c:pt>
                <c:pt idx="68">
                  <c:v>1257984.2747452271</c:v>
                </c:pt>
                <c:pt idx="69">
                  <c:v>1247343.8122165529</c:v>
                </c:pt>
                <c:pt idx="70">
                  <c:v>1277478.1654322045</c:v>
                </c:pt>
                <c:pt idx="71">
                  <c:v>1276022.1454953153</c:v>
                </c:pt>
                <c:pt idx="72">
                  <c:v>1293682.3477077524</c:v>
                </c:pt>
                <c:pt idx="73">
                  <c:v>1281722.0255224374</c:v>
                </c:pt>
                <c:pt idx="74">
                  <c:v>1276748.8881196743</c:v>
                </c:pt>
                <c:pt idx="75">
                  <c:v>1276267.4557849762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A-CE45-9D94-C884269C0CC5}"/>
            </c:ext>
          </c:extLst>
        </c:ser>
        <c:ser>
          <c:idx val="1"/>
          <c:order val="1"/>
          <c:tx>
            <c:v>Post-Abenomics</c:v>
          </c:tx>
          <c:spPr>
            <a:ln w="25400" cap="rnd">
              <a:noFill/>
              <a:round/>
            </a:ln>
            <a:effectLst>
              <a:outerShdw blurRad="50800" dist="50800" dir="5400000" algn="ctr" rotWithShape="0">
                <a:schemeClr val="bg1">
                  <a:alpha val="80000"/>
                </a:schemeClr>
              </a:outerShdw>
            </a:effectLst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>
                <a:outerShdw blurRad="50800" dist="50800" dir="5400000" algn="ctr" rotWithShape="0">
                  <a:schemeClr val="bg1">
                    <a:alpha val="80000"/>
                  </a:schemeClr>
                </a:outerShdw>
              </a:effectLst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156314675167116E-3"/>
                  <c:y val="-0.163525732696979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DATA!$X$78:$X$125</c:f>
              <c:numCache>
                <c:formatCode>General</c:formatCode>
                <c:ptCount val="48"/>
                <c:pt idx="0">
                  <c:v>25834.3</c:v>
                </c:pt>
                <c:pt idx="1">
                  <c:v>26814.7</c:v>
                </c:pt>
                <c:pt idx="2">
                  <c:v>28266.2</c:v>
                </c:pt>
                <c:pt idx="3">
                  <c:v>28749</c:v>
                </c:pt>
                <c:pt idx="4">
                  <c:v>28088.799999999999</c:v>
                </c:pt>
                <c:pt idx="5">
                  <c:v>27125</c:v>
                </c:pt>
                <c:pt idx="6">
                  <c:v>27876</c:v>
                </c:pt>
                <c:pt idx="7">
                  <c:v>28041.8</c:v>
                </c:pt>
                <c:pt idx="8">
                  <c:v>26724.2</c:v>
                </c:pt>
                <c:pt idx="9">
                  <c:v>26500.5</c:v>
                </c:pt>
                <c:pt idx="10">
                  <c:v>26501.200000000001</c:v>
                </c:pt>
                <c:pt idx="11">
                  <c:v>27190.1</c:v>
                </c:pt>
                <c:pt idx="12">
                  <c:v>27954.1</c:v>
                </c:pt>
                <c:pt idx="13">
                  <c:v>27128.3</c:v>
                </c:pt>
                <c:pt idx="14">
                  <c:v>27189.4</c:v>
                </c:pt>
                <c:pt idx="15">
                  <c:v>27222.400000000001</c:v>
                </c:pt>
                <c:pt idx="16">
                  <c:v>27482</c:v>
                </c:pt>
                <c:pt idx="17">
                  <c:v>27755.5</c:v>
                </c:pt>
                <c:pt idx="18">
                  <c:v>27204.6</c:v>
                </c:pt>
                <c:pt idx="19">
                  <c:v>27294.7</c:v>
                </c:pt>
                <c:pt idx="20">
                  <c:v>27568.7</c:v>
                </c:pt>
                <c:pt idx="21">
                  <c:v>27881.5</c:v>
                </c:pt>
                <c:pt idx="22">
                  <c:v>27668.799999999999</c:v>
                </c:pt>
                <c:pt idx="23">
                  <c:v>27266.799999999999</c:v>
                </c:pt>
                <c:pt idx="24">
                  <c:v>27896.5</c:v>
                </c:pt>
                <c:pt idx="25">
                  <c:v>28320.5</c:v>
                </c:pt>
                <c:pt idx="26">
                  <c:v>28133</c:v>
                </c:pt>
                <c:pt idx="27">
                  <c:v>28046.5</c:v>
                </c:pt>
                <c:pt idx="28">
                  <c:v>27983.1</c:v>
                </c:pt>
                <c:pt idx="29">
                  <c:v>29862.400000000001</c:v>
                </c:pt>
                <c:pt idx="30">
                  <c:v>29343.5</c:v>
                </c:pt>
                <c:pt idx="31">
                  <c:v>29470.799999999999</c:v>
                </c:pt>
                <c:pt idx="32">
                  <c:v>29269.4</c:v>
                </c:pt>
                <c:pt idx="33">
                  <c:v>28497.200000000001</c:v>
                </c:pt>
                <c:pt idx="34">
                  <c:v>28016.3</c:v>
                </c:pt>
                <c:pt idx="35">
                  <c:v>27659.7</c:v>
                </c:pt>
                <c:pt idx="36">
                  <c:v>26506.3</c:v>
                </c:pt>
                <c:pt idx="37">
                  <c:v>25623.7</c:v>
                </c:pt>
                <c:pt idx="38">
                  <c:v>25822.7</c:v>
                </c:pt>
                <c:pt idx="39">
                  <c:v>25992.799999999999</c:v>
                </c:pt>
                <c:pt idx="40">
                  <c:v>26791.3</c:v>
                </c:pt>
                <c:pt idx="41">
                  <c:v>26830.9</c:v>
                </c:pt>
                <c:pt idx="42">
                  <c:v>26303.9</c:v>
                </c:pt>
                <c:pt idx="43">
                  <c:v>25838.5</c:v>
                </c:pt>
                <c:pt idx="44">
                  <c:v>25311.5</c:v>
                </c:pt>
                <c:pt idx="45">
                  <c:v>26763.4</c:v>
                </c:pt>
                <c:pt idx="46">
                  <c:v>26461</c:v>
                </c:pt>
                <c:pt idx="47">
                  <c:v>26373.1</c:v>
                </c:pt>
              </c:numCache>
            </c:numRef>
          </c:xVal>
          <c:yVal>
            <c:numRef>
              <c:f>DATA!$AB$78:$AB$125</c:f>
              <c:numCache>
                <c:formatCode>General</c:formatCode>
                <c:ptCount val="48"/>
                <c:pt idx="0">
                  <c:v>1293376.600946987</c:v>
                </c:pt>
                <c:pt idx="1">
                  <c:v>1305218.109624234</c:v>
                </c:pt>
                <c:pt idx="2">
                  <c:v>1317773.7666939837</c:v>
                </c:pt>
                <c:pt idx="3">
                  <c:v>1316522.9772900322</c:v>
                </c:pt>
                <c:pt idx="4">
                  <c:v>1326533.9658529542</c:v>
                </c:pt>
                <c:pt idx="5">
                  <c:v>1302938.1576133848</c:v>
                </c:pt>
                <c:pt idx="6">
                  <c:v>1304179.5211456947</c:v>
                </c:pt>
                <c:pt idx="7">
                  <c:v>1310398.3785760647</c:v>
                </c:pt>
                <c:pt idx="8">
                  <c:v>1330074.1331393919</c:v>
                </c:pt>
                <c:pt idx="9">
                  <c:v>1332270.2820225542</c:v>
                </c:pt>
                <c:pt idx="10">
                  <c:v>1333797.9069002983</c:v>
                </c:pt>
                <c:pt idx="11">
                  <c:v>1331504.8061945576</c:v>
                </c:pt>
                <c:pt idx="12">
                  <c:v>1341312.148404649</c:v>
                </c:pt>
                <c:pt idx="13">
                  <c:v>1339146.7326155775</c:v>
                </c:pt>
                <c:pt idx="14">
                  <c:v>1342122.2981116755</c:v>
                </c:pt>
                <c:pt idx="15">
                  <c:v>1343926.8376722441</c:v>
                </c:pt>
                <c:pt idx="16">
                  <c:v>1354257.5929898729</c:v>
                </c:pt>
                <c:pt idx="17">
                  <c:v>1359598.8146406326</c:v>
                </c:pt>
                <c:pt idx="18">
                  <c:v>1371482.066463724</c:v>
                </c:pt>
                <c:pt idx="19">
                  <c:v>1372328.4938952047</c:v>
                </c:pt>
                <c:pt idx="20">
                  <c:v>1373306.7251116524</c:v>
                </c:pt>
                <c:pt idx="21">
                  <c:v>1378590.4410245025</c:v>
                </c:pt>
                <c:pt idx="22">
                  <c:v>1371706.8616209948</c:v>
                </c:pt>
                <c:pt idx="23">
                  <c:v>1368483.055102034</c:v>
                </c:pt>
                <c:pt idx="24">
                  <c:v>1371720.3271519018</c:v>
                </c:pt>
                <c:pt idx="25">
                  <c:v>1377799.6183147973</c:v>
                </c:pt>
                <c:pt idx="26">
                  <c:v>1380366.6237611382</c:v>
                </c:pt>
                <c:pt idx="27">
                  <c:v>1340372.0959288115</c:v>
                </c:pt>
                <c:pt idx="28">
                  <c:v>1347638.2548283129</c:v>
                </c:pt>
                <c:pt idx="29">
                  <c:v>1245118.5144194164</c:v>
                </c:pt>
                <c:pt idx="30">
                  <c:v>1312371.9501541003</c:v>
                </c:pt>
                <c:pt idx="31">
                  <c:v>1334951.6652726643</c:v>
                </c:pt>
                <c:pt idx="32">
                  <c:v>1338897.8579206739</c:v>
                </c:pt>
                <c:pt idx="33">
                  <c:v>1347596.7493094904</c:v>
                </c:pt>
                <c:pt idx="34">
                  <c:v>1341732.7482232128</c:v>
                </c:pt>
                <c:pt idx="35">
                  <c:v>1357290.8226418898</c:v>
                </c:pt>
                <c:pt idx="36">
                  <c:v>1348538.0691294181</c:v>
                </c:pt>
                <c:pt idx="37">
                  <c:v>1364399.1972026709</c:v>
                </c:pt>
                <c:pt idx="38">
                  <c:v>1358961.6574013694</c:v>
                </c:pt>
                <c:pt idx="39">
                  <c:v>1362894.2261004492</c:v>
                </c:pt>
                <c:pt idx="40">
                  <c:v>1379028.7836602735</c:v>
                </c:pt>
                <c:pt idx="41">
                  <c:v>1387682.3674979992</c:v>
                </c:pt>
                <c:pt idx="42">
                  <c:v>1374318.38252835</c:v>
                </c:pt>
                <c:pt idx="43">
                  <c:v>1374611.9311022931</c:v>
                </c:pt>
                <c:pt idx="44">
                  <c:v>1367492.7841167748</c:v>
                </c:pt>
                <c:pt idx="45">
                  <c:v>1378462.9145258463</c:v>
                </c:pt>
                <c:pt idx="46">
                  <c:v>1383357.2389682482</c:v>
                </c:pt>
                <c:pt idx="47">
                  <c:v>1391050.809660777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1A-CE45-9D94-C884269C0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754096"/>
        <c:axId val="447377856"/>
      </c:scatterChart>
      <c:valAx>
        <c:axId val="504754096"/>
        <c:scaling>
          <c:orientation val="minMax"/>
          <c:min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Public</a:t>
                </a:r>
                <a:r>
                  <a:rPr lang="en-US" baseline="0"/>
                  <a:t> Investment, Billions of Yen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377856"/>
        <c:crosses val="autoZero"/>
        <c:crossBetween val="midCat"/>
      </c:valAx>
      <c:valAx>
        <c:axId val="447377856"/>
        <c:scaling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GDP, Billions of Yen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754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Monetary</a:t>
            </a:r>
            <a:r>
              <a:rPr lang="en-US" baseline="0"/>
              <a:t> and Fiscal Policy Mix- Japan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DATA!$G$1</c:f>
              <c:strCache>
                <c:ptCount val="1"/>
                <c:pt idx="0">
                  <c:v>R.GDP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DATA!$A$2:$A$125</c:f>
              <c:numCache>
                <c:formatCode>yyyy\-mm\-dd</c:formatCode>
                <c:ptCount val="124"/>
                <c:pt idx="0">
                  <c:v>34335</c:v>
                </c:pt>
                <c:pt idx="1">
                  <c:v>34425</c:v>
                </c:pt>
                <c:pt idx="2">
                  <c:v>34516</c:v>
                </c:pt>
                <c:pt idx="3">
                  <c:v>34608</c:v>
                </c:pt>
                <c:pt idx="4">
                  <c:v>34700</c:v>
                </c:pt>
                <c:pt idx="5">
                  <c:v>34790</c:v>
                </c:pt>
                <c:pt idx="6">
                  <c:v>34881</c:v>
                </c:pt>
                <c:pt idx="7">
                  <c:v>34973</c:v>
                </c:pt>
                <c:pt idx="8">
                  <c:v>35065</c:v>
                </c:pt>
                <c:pt idx="9">
                  <c:v>35156</c:v>
                </c:pt>
                <c:pt idx="10">
                  <c:v>35247</c:v>
                </c:pt>
                <c:pt idx="11">
                  <c:v>35339</c:v>
                </c:pt>
                <c:pt idx="12">
                  <c:v>35431</c:v>
                </c:pt>
                <c:pt idx="13">
                  <c:v>35521</c:v>
                </c:pt>
                <c:pt idx="14">
                  <c:v>35612</c:v>
                </c:pt>
                <c:pt idx="15">
                  <c:v>35704</c:v>
                </c:pt>
                <c:pt idx="16">
                  <c:v>35796</c:v>
                </c:pt>
                <c:pt idx="17">
                  <c:v>35886</c:v>
                </c:pt>
                <c:pt idx="18">
                  <c:v>35977</c:v>
                </c:pt>
                <c:pt idx="19">
                  <c:v>36069</c:v>
                </c:pt>
                <c:pt idx="20">
                  <c:v>36161</c:v>
                </c:pt>
                <c:pt idx="21">
                  <c:v>36251</c:v>
                </c:pt>
                <c:pt idx="22">
                  <c:v>36342</c:v>
                </c:pt>
                <c:pt idx="23">
                  <c:v>36434</c:v>
                </c:pt>
                <c:pt idx="24">
                  <c:v>36526</c:v>
                </c:pt>
                <c:pt idx="25">
                  <c:v>36617</c:v>
                </c:pt>
                <c:pt idx="26">
                  <c:v>36708</c:v>
                </c:pt>
                <c:pt idx="27">
                  <c:v>36800</c:v>
                </c:pt>
                <c:pt idx="28">
                  <c:v>36892</c:v>
                </c:pt>
                <c:pt idx="29">
                  <c:v>36982</c:v>
                </c:pt>
                <c:pt idx="30">
                  <c:v>37073</c:v>
                </c:pt>
                <c:pt idx="31">
                  <c:v>37165</c:v>
                </c:pt>
                <c:pt idx="32">
                  <c:v>37257</c:v>
                </c:pt>
                <c:pt idx="33">
                  <c:v>37347</c:v>
                </c:pt>
                <c:pt idx="34">
                  <c:v>37438</c:v>
                </c:pt>
                <c:pt idx="35">
                  <c:v>37530</c:v>
                </c:pt>
                <c:pt idx="36">
                  <c:v>37622</c:v>
                </c:pt>
                <c:pt idx="37">
                  <c:v>37712</c:v>
                </c:pt>
                <c:pt idx="38">
                  <c:v>37803</c:v>
                </c:pt>
                <c:pt idx="39">
                  <c:v>37895</c:v>
                </c:pt>
                <c:pt idx="40">
                  <c:v>37987</c:v>
                </c:pt>
                <c:pt idx="41">
                  <c:v>38078</c:v>
                </c:pt>
                <c:pt idx="42">
                  <c:v>38169</c:v>
                </c:pt>
                <c:pt idx="43">
                  <c:v>38261</c:v>
                </c:pt>
                <c:pt idx="44">
                  <c:v>38353</c:v>
                </c:pt>
                <c:pt idx="45">
                  <c:v>38443</c:v>
                </c:pt>
                <c:pt idx="46">
                  <c:v>38534</c:v>
                </c:pt>
                <c:pt idx="47">
                  <c:v>38626</c:v>
                </c:pt>
                <c:pt idx="48">
                  <c:v>38718</c:v>
                </c:pt>
                <c:pt idx="49">
                  <c:v>38808</c:v>
                </c:pt>
                <c:pt idx="50">
                  <c:v>38899</c:v>
                </c:pt>
                <c:pt idx="51">
                  <c:v>38991</c:v>
                </c:pt>
                <c:pt idx="52">
                  <c:v>39083</c:v>
                </c:pt>
                <c:pt idx="53">
                  <c:v>39173</c:v>
                </c:pt>
                <c:pt idx="54">
                  <c:v>39264</c:v>
                </c:pt>
                <c:pt idx="55">
                  <c:v>39356</c:v>
                </c:pt>
                <c:pt idx="56">
                  <c:v>39448</c:v>
                </c:pt>
                <c:pt idx="57">
                  <c:v>39539</c:v>
                </c:pt>
                <c:pt idx="58">
                  <c:v>39630</c:v>
                </c:pt>
                <c:pt idx="59">
                  <c:v>39722</c:v>
                </c:pt>
                <c:pt idx="60">
                  <c:v>39814</c:v>
                </c:pt>
                <c:pt idx="61">
                  <c:v>39904</c:v>
                </c:pt>
                <c:pt idx="62">
                  <c:v>39995</c:v>
                </c:pt>
                <c:pt idx="63">
                  <c:v>40087</c:v>
                </c:pt>
                <c:pt idx="64">
                  <c:v>40179</c:v>
                </c:pt>
                <c:pt idx="65">
                  <c:v>40269</c:v>
                </c:pt>
                <c:pt idx="66">
                  <c:v>40360</c:v>
                </c:pt>
                <c:pt idx="67">
                  <c:v>40452</c:v>
                </c:pt>
                <c:pt idx="68">
                  <c:v>40544</c:v>
                </c:pt>
                <c:pt idx="69">
                  <c:v>40634</c:v>
                </c:pt>
                <c:pt idx="70">
                  <c:v>40725</c:v>
                </c:pt>
                <c:pt idx="71">
                  <c:v>40817</c:v>
                </c:pt>
                <c:pt idx="72">
                  <c:v>40909</c:v>
                </c:pt>
                <c:pt idx="73">
                  <c:v>41000</c:v>
                </c:pt>
                <c:pt idx="74">
                  <c:v>41091</c:v>
                </c:pt>
                <c:pt idx="75">
                  <c:v>41183</c:v>
                </c:pt>
                <c:pt idx="76">
                  <c:v>41275</c:v>
                </c:pt>
                <c:pt idx="77">
                  <c:v>41365</c:v>
                </c:pt>
                <c:pt idx="78">
                  <c:v>41456</c:v>
                </c:pt>
                <c:pt idx="79">
                  <c:v>41548</c:v>
                </c:pt>
                <c:pt idx="80">
                  <c:v>41640</c:v>
                </c:pt>
                <c:pt idx="81">
                  <c:v>41730</c:v>
                </c:pt>
                <c:pt idx="82">
                  <c:v>41821</c:v>
                </c:pt>
                <c:pt idx="83">
                  <c:v>41913</c:v>
                </c:pt>
                <c:pt idx="84">
                  <c:v>42005</c:v>
                </c:pt>
                <c:pt idx="85">
                  <c:v>42095</c:v>
                </c:pt>
                <c:pt idx="86">
                  <c:v>42186</c:v>
                </c:pt>
                <c:pt idx="87">
                  <c:v>42278</c:v>
                </c:pt>
                <c:pt idx="88">
                  <c:v>42370</c:v>
                </c:pt>
                <c:pt idx="89">
                  <c:v>42461</c:v>
                </c:pt>
                <c:pt idx="90">
                  <c:v>42552</c:v>
                </c:pt>
                <c:pt idx="91">
                  <c:v>42644</c:v>
                </c:pt>
                <c:pt idx="92">
                  <c:v>42736</c:v>
                </c:pt>
                <c:pt idx="93">
                  <c:v>42826</c:v>
                </c:pt>
                <c:pt idx="94">
                  <c:v>42917</c:v>
                </c:pt>
                <c:pt idx="95">
                  <c:v>43009</c:v>
                </c:pt>
                <c:pt idx="96">
                  <c:v>43101</c:v>
                </c:pt>
                <c:pt idx="97">
                  <c:v>43191</c:v>
                </c:pt>
                <c:pt idx="98">
                  <c:v>43282</c:v>
                </c:pt>
                <c:pt idx="99">
                  <c:v>43374</c:v>
                </c:pt>
                <c:pt idx="100">
                  <c:v>43466</c:v>
                </c:pt>
                <c:pt idx="101">
                  <c:v>43556</c:v>
                </c:pt>
                <c:pt idx="102">
                  <c:v>43647</c:v>
                </c:pt>
                <c:pt idx="103">
                  <c:v>43739</c:v>
                </c:pt>
                <c:pt idx="104">
                  <c:v>43831</c:v>
                </c:pt>
                <c:pt idx="105">
                  <c:v>43922</c:v>
                </c:pt>
                <c:pt idx="106">
                  <c:v>44013</c:v>
                </c:pt>
                <c:pt idx="107">
                  <c:v>44105</c:v>
                </c:pt>
                <c:pt idx="108">
                  <c:v>44197</c:v>
                </c:pt>
                <c:pt idx="109">
                  <c:v>44287</c:v>
                </c:pt>
                <c:pt idx="110">
                  <c:v>44378</c:v>
                </c:pt>
                <c:pt idx="111">
                  <c:v>44470</c:v>
                </c:pt>
                <c:pt idx="112">
                  <c:v>44562</c:v>
                </c:pt>
                <c:pt idx="113">
                  <c:v>44652</c:v>
                </c:pt>
                <c:pt idx="114">
                  <c:v>44743</c:v>
                </c:pt>
                <c:pt idx="115">
                  <c:v>44835</c:v>
                </c:pt>
                <c:pt idx="116">
                  <c:v>44927</c:v>
                </c:pt>
                <c:pt idx="117">
                  <c:v>45017</c:v>
                </c:pt>
                <c:pt idx="118">
                  <c:v>45108</c:v>
                </c:pt>
                <c:pt idx="119">
                  <c:v>45200</c:v>
                </c:pt>
                <c:pt idx="120">
                  <c:v>45292</c:v>
                </c:pt>
                <c:pt idx="121">
                  <c:v>45383</c:v>
                </c:pt>
                <c:pt idx="122">
                  <c:v>45474</c:v>
                </c:pt>
                <c:pt idx="123">
                  <c:v>45566</c:v>
                </c:pt>
              </c:numCache>
            </c:numRef>
          </c:cat>
          <c:val>
            <c:numRef>
              <c:f>DATA!$G$2:$G$125</c:f>
              <c:numCache>
                <c:formatCode>General</c:formatCode>
                <c:ptCount val="124"/>
                <c:pt idx="0">
                  <c:v>1104558.9660129505</c:v>
                </c:pt>
                <c:pt idx="1">
                  <c:v>1098600.9438373018</c:v>
                </c:pt>
                <c:pt idx="2">
                  <c:v>1111165.4723156479</c:v>
                </c:pt>
                <c:pt idx="3">
                  <c:v>1106885.9681729998</c:v>
                </c:pt>
                <c:pt idx="4">
                  <c:v>1118907.9149644978</c:v>
                </c:pt>
                <c:pt idx="5">
                  <c:v>1129620.6953150826</c:v>
                </c:pt>
                <c:pt idx="6">
                  <c:v>1142808.2026207438</c:v>
                </c:pt>
                <c:pt idx="7">
                  <c:v>1145706.3017095765</c:v>
                </c:pt>
                <c:pt idx="8">
                  <c:v>1155052.1722543258</c:v>
                </c:pt>
                <c:pt idx="9">
                  <c:v>1169744.2546171769</c:v>
                </c:pt>
                <c:pt idx="10">
                  <c:v>1171199.4824640106</c:v>
                </c:pt>
                <c:pt idx="11">
                  <c:v>1184314.9887837863</c:v>
                </c:pt>
                <c:pt idx="12">
                  <c:v>1187076.3731293357</c:v>
                </c:pt>
                <c:pt idx="13">
                  <c:v>1178485.2059878428</c:v>
                </c:pt>
                <c:pt idx="14">
                  <c:v>1180718.899939551</c:v>
                </c:pt>
                <c:pt idx="15">
                  <c:v>1181193.6787177918</c:v>
                </c:pt>
                <c:pt idx="16">
                  <c:v>1166595.4590263248</c:v>
                </c:pt>
                <c:pt idx="17">
                  <c:v>1161721.0952532643</c:v>
                </c:pt>
                <c:pt idx="18">
                  <c:v>1163735.2218420641</c:v>
                </c:pt>
                <c:pt idx="19">
                  <c:v>1173082.3597308947</c:v>
                </c:pt>
                <c:pt idx="20">
                  <c:v>1156834.9293384089</c:v>
                </c:pt>
                <c:pt idx="21">
                  <c:v>1161394.5957330884</c:v>
                </c:pt>
                <c:pt idx="22">
                  <c:v>1167534.0857400724</c:v>
                </c:pt>
                <c:pt idx="23">
                  <c:v>1167902.645242105</c:v>
                </c:pt>
                <c:pt idx="24">
                  <c:v>1188067.7530406672</c:v>
                </c:pt>
                <c:pt idx="25">
                  <c:v>1193396.776504596</c:v>
                </c:pt>
                <c:pt idx="26">
                  <c:v>1193734.2068675156</c:v>
                </c:pt>
                <c:pt idx="27">
                  <c:v>1205255.8695810402</c:v>
                </c:pt>
                <c:pt idx="28">
                  <c:v>1214243.6362124674</c:v>
                </c:pt>
                <c:pt idx="29">
                  <c:v>1205093.4911200115</c:v>
                </c:pt>
                <c:pt idx="30">
                  <c:v>1192103.2142377393</c:v>
                </c:pt>
                <c:pt idx="31">
                  <c:v>1187858.7996844728</c:v>
                </c:pt>
                <c:pt idx="32">
                  <c:v>1189970.0365138706</c:v>
                </c:pt>
                <c:pt idx="33">
                  <c:v>1199468.1467669588</c:v>
                </c:pt>
                <c:pt idx="34">
                  <c:v>1203448.1616602661</c:v>
                </c:pt>
                <c:pt idx="35">
                  <c:v>1206693.9882827175</c:v>
                </c:pt>
                <c:pt idx="36">
                  <c:v>1207441.0084124464</c:v>
                </c:pt>
                <c:pt idx="37">
                  <c:v>1215627.8135814741</c:v>
                </c:pt>
                <c:pt idx="38">
                  <c:v>1219412.4990675228</c:v>
                </c:pt>
                <c:pt idx="39">
                  <c:v>1232654.2645418784</c:v>
                </c:pt>
                <c:pt idx="40">
                  <c:v>1241965.2831242573</c:v>
                </c:pt>
                <c:pt idx="41">
                  <c:v>1241747.6959864725</c:v>
                </c:pt>
                <c:pt idx="42">
                  <c:v>1249485.7029310241</c:v>
                </c:pt>
                <c:pt idx="43">
                  <c:v>1247148.2451822674</c:v>
                </c:pt>
                <c:pt idx="44">
                  <c:v>1253443.6185118421</c:v>
                </c:pt>
                <c:pt idx="45">
                  <c:v>1263157.6525135916</c:v>
                </c:pt>
                <c:pt idx="46">
                  <c:v>1275999.1748837486</c:v>
                </c:pt>
                <c:pt idx="47">
                  <c:v>1278369.9796237792</c:v>
                </c:pt>
                <c:pt idx="48">
                  <c:v>1280273.2136050353</c:v>
                </c:pt>
                <c:pt idx="49">
                  <c:v>1282174.7049881825</c:v>
                </c:pt>
                <c:pt idx="50">
                  <c:v>1279641.0465331059</c:v>
                </c:pt>
                <c:pt idx="51">
                  <c:v>1297134.8306252407</c:v>
                </c:pt>
                <c:pt idx="52">
                  <c:v>1305515.3810214221</c:v>
                </c:pt>
                <c:pt idx="53">
                  <c:v>1305957.2088534315</c:v>
                </c:pt>
                <c:pt idx="54">
                  <c:v>1298897.9438759866</c:v>
                </c:pt>
                <c:pt idx="55">
                  <c:v>1304763.3707243484</c:v>
                </c:pt>
                <c:pt idx="56">
                  <c:v>1309513.2179409517</c:v>
                </c:pt>
                <c:pt idx="57">
                  <c:v>1301582.6539043223</c:v>
                </c:pt>
                <c:pt idx="58">
                  <c:v>1285446.8290004153</c:v>
                </c:pt>
                <c:pt idx="59">
                  <c:v>1253848.8517833585</c:v>
                </c:pt>
                <c:pt idx="60">
                  <c:v>1193233.922789546</c:v>
                </c:pt>
                <c:pt idx="61">
                  <c:v>1216824.10718973</c:v>
                </c:pt>
                <c:pt idx="62">
                  <c:v>1216297.3673039526</c:v>
                </c:pt>
                <c:pt idx="63">
                  <c:v>1231394.8413563366</c:v>
                </c:pt>
                <c:pt idx="64">
                  <c:v>1244080.1635678899</c:v>
                </c:pt>
                <c:pt idx="65">
                  <c:v>1259308.5701061634</c:v>
                </c:pt>
                <c:pt idx="66">
                  <c:v>1281969.3160372323</c:v>
                </c:pt>
                <c:pt idx="67">
                  <c:v>1271685.4524507774</c:v>
                </c:pt>
                <c:pt idx="68">
                  <c:v>1257984.2747452271</c:v>
                </c:pt>
                <c:pt idx="69">
                  <c:v>1247343.8122165529</c:v>
                </c:pt>
                <c:pt idx="70">
                  <c:v>1277478.1654322045</c:v>
                </c:pt>
                <c:pt idx="71">
                  <c:v>1276022.1454953153</c:v>
                </c:pt>
                <c:pt idx="72">
                  <c:v>1293682.3477077524</c:v>
                </c:pt>
                <c:pt idx="73">
                  <c:v>1281722.0255224374</c:v>
                </c:pt>
                <c:pt idx="74">
                  <c:v>1276748.8881196743</c:v>
                </c:pt>
                <c:pt idx="75">
                  <c:v>1276267.4557849762</c:v>
                </c:pt>
                <c:pt idx="76">
                  <c:v>1293376.600946987</c:v>
                </c:pt>
                <c:pt idx="77">
                  <c:v>1305218.109624234</c:v>
                </c:pt>
                <c:pt idx="78">
                  <c:v>1317773.7666939837</c:v>
                </c:pt>
                <c:pt idx="79">
                  <c:v>1316522.9772900322</c:v>
                </c:pt>
                <c:pt idx="80">
                  <c:v>1326533.9658529542</c:v>
                </c:pt>
                <c:pt idx="81">
                  <c:v>1302938.1576133848</c:v>
                </c:pt>
                <c:pt idx="82">
                  <c:v>1304179.5211456947</c:v>
                </c:pt>
                <c:pt idx="83">
                  <c:v>1310398.3785760647</c:v>
                </c:pt>
                <c:pt idx="84">
                  <c:v>1330074.1331393919</c:v>
                </c:pt>
                <c:pt idx="85">
                  <c:v>1332270.2820225542</c:v>
                </c:pt>
                <c:pt idx="86">
                  <c:v>1333797.9069002983</c:v>
                </c:pt>
                <c:pt idx="87">
                  <c:v>1331504.8061945576</c:v>
                </c:pt>
                <c:pt idx="88">
                  <c:v>1341312.148404649</c:v>
                </c:pt>
                <c:pt idx="89">
                  <c:v>1339146.7326155775</c:v>
                </c:pt>
                <c:pt idx="90">
                  <c:v>1342122.2981116755</c:v>
                </c:pt>
                <c:pt idx="91">
                  <c:v>1343926.8376722441</c:v>
                </c:pt>
                <c:pt idx="92">
                  <c:v>1354257.5929898729</c:v>
                </c:pt>
                <c:pt idx="93">
                  <c:v>1359598.8146406326</c:v>
                </c:pt>
                <c:pt idx="94">
                  <c:v>1371482.066463724</c:v>
                </c:pt>
                <c:pt idx="95">
                  <c:v>1372328.4938952047</c:v>
                </c:pt>
                <c:pt idx="96">
                  <c:v>1373306.7251116524</c:v>
                </c:pt>
                <c:pt idx="97">
                  <c:v>1378590.4410245025</c:v>
                </c:pt>
                <c:pt idx="98">
                  <c:v>1371706.8616209948</c:v>
                </c:pt>
                <c:pt idx="99">
                  <c:v>1368483.055102034</c:v>
                </c:pt>
                <c:pt idx="100">
                  <c:v>1371720.3271519018</c:v>
                </c:pt>
                <c:pt idx="101">
                  <c:v>1377799.6183147973</c:v>
                </c:pt>
                <c:pt idx="102">
                  <c:v>1380366.6237611382</c:v>
                </c:pt>
                <c:pt idx="103">
                  <c:v>1340372.0959288115</c:v>
                </c:pt>
                <c:pt idx="104">
                  <c:v>1347638.2548283129</c:v>
                </c:pt>
                <c:pt idx="105">
                  <c:v>1245118.5144194164</c:v>
                </c:pt>
                <c:pt idx="106">
                  <c:v>1312371.9501541003</c:v>
                </c:pt>
                <c:pt idx="107">
                  <c:v>1334951.6652726643</c:v>
                </c:pt>
                <c:pt idx="108">
                  <c:v>1338897.8579206739</c:v>
                </c:pt>
                <c:pt idx="109">
                  <c:v>1347596.7493094904</c:v>
                </c:pt>
                <c:pt idx="110">
                  <c:v>1341732.7482232128</c:v>
                </c:pt>
                <c:pt idx="111">
                  <c:v>1357290.8226418898</c:v>
                </c:pt>
                <c:pt idx="112">
                  <c:v>1348538.0691294181</c:v>
                </c:pt>
                <c:pt idx="113">
                  <c:v>1364399.1972026709</c:v>
                </c:pt>
                <c:pt idx="114">
                  <c:v>1358961.6574013694</c:v>
                </c:pt>
                <c:pt idx="115">
                  <c:v>1362894.2261004492</c:v>
                </c:pt>
                <c:pt idx="116">
                  <c:v>1379028.7836602735</c:v>
                </c:pt>
                <c:pt idx="117">
                  <c:v>1387682.3674979992</c:v>
                </c:pt>
                <c:pt idx="118">
                  <c:v>1374318.38252835</c:v>
                </c:pt>
                <c:pt idx="119">
                  <c:v>1374611.9311022931</c:v>
                </c:pt>
                <c:pt idx="120">
                  <c:v>1367492.7841167748</c:v>
                </c:pt>
                <c:pt idx="121">
                  <c:v>1378462.9145258463</c:v>
                </c:pt>
                <c:pt idx="122">
                  <c:v>1383357.2389682482</c:v>
                </c:pt>
                <c:pt idx="123">
                  <c:v>1391050.809660777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8B-3B41-9A10-B2CC3793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677824"/>
        <c:axId val="502498032"/>
      </c:lineChart>
      <c:lineChart>
        <c:grouping val="standard"/>
        <c:varyColors val="0"/>
        <c:ser>
          <c:idx val="1"/>
          <c:order val="0"/>
          <c:tx>
            <c:strRef>
              <c:f>DATA!$E$1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DATA!$E$2:$E$125</c:f>
              <c:numCache>
                <c:formatCode>0.000</c:formatCode>
                <c:ptCount val="124"/>
                <c:pt idx="0">
                  <c:v>2.3312499999999998</c:v>
                </c:pt>
                <c:pt idx="1">
                  <c:v>2.1749999999999998</c:v>
                </c:pt>
                <c:pt idx="2">
                  <c:v>2.0818500000000002</c:v>
                </c:pt>
                <c:pt idx="3">
                  <c:v>2.2374999999999998</c:v>
                </c:pt>
                <c:pt idx="4">
                  <c:v>2.25</c:v>
                </c:pt>
                <c:pt idx="5">
                  <c:v>1.5249999999999999</c:v>
                </c:pt>
                <c:pt idx="6">
                  <c:v>0.95</c:v>
                </c:pt>
                <c:pt idx="7">
                  <c:v>0.47</c:v>
                </c:pt>
                <c:pt idx="8">
                  <c:v>0.47</c:v>
                </c:pt>
                <c:pt idx="9">
                  <c:v>0.49</c:v>
                </c:pt>
                <c:pt idx="10">
                  <c:v>0.48</c:v>
                </c:pt>
                <c:pt idx="11">
                  <c:v>0.48</c:v>
                </c:pt>
                <c:pt idx="12">
                  <c:v>0.48</c:v>
                </c:pt>
                <c:pt idx="13">
                  <c:v>0.5</c:v>
                </c:pt>
                <c:pt idx="14">
                  <c:v>0.49</c:v>
                </c:pt>
                <c:pt idx="15">
                  <c:v>0.48</c:v>
                </c:pt>
                <c:pt idx="16">
                  <c:v>0.44</c:v>
                </c:pt>
                <c:pt idx="17">
                  <c:v>0.44</c:v>
                </c:pt>
                <c:pt idx="18">
                  <c:v>0.41</c:v>
                </c:pt>
                <c:pt idx="19">
                  <c:v>0.24</c:v>
                </c:pt>
                <c:pt idx="20">
                  <c:v>0.23</c:v>
                </c:pt>
                <c:pt idx="21">
                  <c:v>0.03</c:v>
                </c:pt>
                <c:pt idx="22">
                  <c:v>0.03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0.25</c:v>
                </c:pt>
                <c:pt idx="28">
                  <c:v>0.25</c:v>
                </c:pt>
                <c:pt idx="29">
                  <c:v>0.02</c:v>
                </c:pt>
                <c:pt idx="30">
                  <c:v>0.01</c:v>
                </c:pt>
                <c:pt idx="31">
                  <c:v>3.0000000000000001E-3</c:v>
                </c:pt>
                <c:pt idx="32">
                  <c:v>1E-3</c:v>
                </c:pt>
                <c:pt idx="33">
                  <c:v>1E-3</c:v>
                </c:pt>
                <c:pt idx="34">
                  <c:v>2E-3</c:v>
                </c:pt>
                <c:pt idx="35">
                  <c:v>2E-3</c:v>
                </c:pt>
                <c:pt idx="36">
                  <c:v>2E-3</c:v>
                </c:pt>
                <c:pt idx="37">
                  <c:v>1E-3</c:v>
                </c:pt>
                <c:pt idx="38">
                  <c:v>2E-3</c:v>
                </c:pt>
                <c:pt idx="39">
                  <c:v>1E-3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1E-3</c:v>
                </c:pt>
                <c:pt idx="44">
                  <c:v>1E-3</c:v>
                </c:pt>
                <c:pt idx="45">
                  <c:v>1E-3</c:v>
                </c:pt>
                <c:pt idx="46">
                  <c:v>1E-3</c:v>
                </c:pt>
                <c:pt idx="47">
                  <c:v>1E-3</c:v>
                </c:pt>
                <c:pt idx="48">
                  <c:v>1E-3</c:v>
                </c:pt>
                <c:pt idx="49">
                  <c:v>2E-3</c:v>
                </c:pt>
                <c:pt idx="50">
                  <c:v>0.155</c:v>
                </c:pt>
                <c:pt idx="51">
                  <c:v>0.254</c:v>
                </c:pt>
                <c:pt idx="52">
                  <c:v>0.26700000000000002</c:v>
                </c:pt>
                <c:pt idx="53">
                  <c:v>0.51100000000000001</c:v>
                </c:pt>
                <c:pt idx="54">
                  <c:v>0.499</c:v>
                </c:pt>
                <c:pt idx="55">
                  <c:v>0.50600000000000001</c:v>
                </c:pt>
                <c:pt idx="56">
                  <c:v>0.502</c:v>
                </c:pt>
                <c:pt idx="57">
                  <c:v>0.50600000000000001</c:v>
                </c:pt>
                <c:pt idx="58">
                  <c:v>0.503</c:v>
                </c:pt>
                <c:pt idx="59">
                  <c:v>0.48699999999999999</c:v>
                </c:pt>
                <c:pt idx="60">
                  <c:v>0.12</c:v>
                </c:pt>
                <c:pt idx="61">
                  <c:v>0.104</c:v>
                </c:pt>
                <c:pt idx="62">
                  <c:v>0.10199999999999999</c:v>
                </c:pt>
                <c:pt idx="63">
                  <c:v>0.106</c:v>
                </c:pt>
                <c:pt idx="64">
                  <c:v>9.6000000000000002E-2</c:v>
                </c:pt>
                <c:pt idx="65">
                  <c:v>9.2999999999999999E-2</c:v>
                </c:pt>
                <c:pt idx="66">
                  <c:v>9.4E-2</c:v>
                </c:pt>
                <c:pt idx="67">
                  <c:v>9.0999999999999998E-2</c:v>
                </c:pt>
                <c:pt idx="68">
                  <c:v>8.5000000000000006E-2</c:v>
                </c:pt>
                <c:pt idx="69">
                  <c:v>6.2E-2</c:v>
                </c:pt>
                <c:pt idx="70">
                  <c:v>7.2999999999999995E-2</c:v>
                </c:pt>
                <c:pt idx="71">
                  <c:v>8.1000000000000003E-2</c:v>
                </c:pt>
                <c:pt idx="72">
                  <c:v>0.08</c:v>
                </c:pt>
                <c:pt idx="73">
                  <c:v>7.4999999999999997E-2</c:v>
                </c:pt>
                <c:pt idx="74">
                  <c:v>8.4000000000000005E-2</c:v>
                </c:pt>
                <c:pt idx="75">
                  <c:v>8.5000000000000006E-2</c:v>
                </c:pt>
                <c:pt idx="76">
                  <c:v>8.3000000000000004E-2</c:v>
                </c:pt>
                <c:pt idx="77">
                  <c:v>7.1999999999999995E-2</c:v>
                </c:pt>
                <c:pt idx="78">
                  <c:v>7.2999999999999995E-2</c:v>
                </c:pt>
                <c:pt idx="79">
                  <c:v>7.0000000000000007E-2</c:v>
                </c:pt>
                <c:pt idx="80">
                  <c:v>7.2999999999999995E-2</c:v>
                </c:pt>
                <c:pt idx="81">
                  <c:v>6.5000000000000002E-2</c:v>
                </c:pt>
                <c:pt idx="82">
                  <c:v>6.6000000000000003E-2</c:v>
                </c:pt>
                <c:pt idx="83">
                  <c:v>5.8999999999999997E-2</c:v>
                </c:pt>
                <c:pt idx="84">
                  <c:v>7.3999999999999996E-2</c:v>
                </c:pt>
                <c:pt idx="85">
                  <c:v>6.0999999999999999E-2</c:v>
                </c:pt>
                <c:pt idx="86">
                  <c:v>7.3999999999999996E-2</c:v>
                </c:pt>
                <c:pt idx="87">
                  <c:v>7.5999999999999998E-2</c:v>
                </c:pt>
                <c:pt idx="88">
                  <c:v>7.3999999999999996E-2</c:v>
                </c:pt>
                <c:pt idx="89">
                  <c:v>-3.6999999999999998E-2</c:v>
                </c:pt>
                <c:pt idx="90">
                  <c:v>-4.2999999999999997E-2</c:v>
                </c:pt>
                <c:pt idx="91">
                  <c:v>-3.6999999999999998E-2</c:v>
                </c:pt>
                <c:pt idx="92">
                  <c:v>-4.4999999999999998E-2</c:v>
                </c:pt>
                <c:pt idx="93">
                  <c:v>-5.3999999999999999E-2</c:v>
                </c:pt>
                <c:pt idx="94">
                  <c:v>-5.3999999999999999E-2</c:v>
                </c:pt>
                <c:pt idx="95">
                  <c:v>-3.6999999999999998E-2</c:v>
                </c:pt>
                <c:pt idx="96">
                  <c:v>-0.04</c:v>
                </c:pt>
                <c:pt idx="97">
                  <c:v>-6.3E-2</c:v>
                </c:pt>
                <c:pt idx="98">
                  <c:v>-7.0000000000000007E-2</c:v>
                </c:pt>
                <c:pt idx="99">
                  <c:v>-0.06</c:v>
                </c:pt>
                <c:pt idx="100">
                  <c:v>-6.4000000000000001E-2</c:v>
                </c:pt>
                <c:pt idx="101">
                  <c:v>-6.8000000000000005E-2</c:v>
                </c:pt>
                <c:pt idx="102">
                  <c:v>-7.0999999999999994E-2</c:v>
                </c:pt>
                <c:pt idx="103">
                  <c:v>-2.1999999999999999E-2</c:v>
                </c:pt>
                <c:pt idx="104">
                  <c:v>-3.2000000000000001E-2</c:v>
                </c:pt>
                <c:pt idx="105">
                  <c:v>-3.5999999999999997E-2</c:v>
                </c:pt>
                <c:pt idx="106">
                  <c:v>-2.8000000000000001E-2</c:v>
                </c:pt>
                <c:pt idx="107">
                  <c:v>-0.02</c:v>
                </c:pt>
                <c:pt idx="108">
                  <c:v>-1.7000000000000001E-2</c:v>
                </c:pt>
                <c:pt idx="109">
                  <c:v>-1.2E-2</c:v>
                </c:pt>
                <c:pt idx="110">
                  <c:v>-3.5999999999999997E-2</c:v>
                </c:pt>
                <c:pt idx="111">
                  <c:v>-2.7E-2</c:v>
                </c:pt>
                <c:pt idx="112">
                  <c:v>-0.02</c:v>
                </c:pt>
                <c:pt idx="113">
                  <c:v>-1.2E-2</c:v>
                </c:pt>
                <c:pt idx="114">
                  <c:v>-1.2E-2</c:v>
                </c:pt>
                <c:pt idx="115">
                  <c:v>-0.05</c:v>
                </c:pt>
                <c:pt idx="116">
                  <c:v>-0.02</c:v>
                </c:pt>
                <c:pt idx="117">
                  <c:v>-1.4999999999999999E-2</c:v>
                </c:pt>
                <c:pt idx="118">
                  <c:v>-4.5999999999999999E-2</c:v>
                </c:pt>
                <c:pt idx="119">
                  <c:v>-0.02</c:v>
                </c:pt>
                <c:pt idx="120">
                  <c:v>-1.4E-2</c:v>
                </c:pt>
                <c:pt idx="121">
                  <c:v>7.6999999999999999E-2</c:v>
                </c:pt>
                <c:pt idx="122">
                  <c:v>7.8E-2</c:v>
                </c:pt>
                <c:pt idx="123">
                  <c:v>0.22700000000000001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8B-3B41-9A10-B2CC379328EC}"/>
            </c:ext>
          </c:extLst>
        </c:ser>
        <c:ser>
          <c:idx val="0"/>
          <c:order val="2"/>
          <c:tx>
            <c:v>Log of Real Investment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DATA!$F$2:$F$125</c:f>
              <c:numCache>
                <c:formatCode>0.000</c:formatCode>
                <c:ptCount val="124"/>
                <c:pt idx="0">
                  <c:v>4.6730347379431167</c:v>
                </c:pt>
                <c:pt idx="1">
                  <c:v>4.6813488928716476</c:v>
                </c:pt>
                <c:pt idx="2">
                  <c:v>4.6655547261946166</c:v>
                </c:pt>
                <c:pt idx="3">
                  <c:v>4.6587181009387937</c:v>
                </c:pt>
                <c:pt idx="4">
                  <c:v>4.6398399567206816</c:v>
                </c:pt>
                <c:pt idx="5">
                  <c:v>4.6572060124315779</c:v>
                </c:pt>
                <c:pt idx="6">
                  <c:v>4.6894864483642476</c:v>
                </c:pt>
                <c:pt idx="7">
                  <c:v>4.6912583581331102</c:v>
                </c:pt>
                <c:pt idx="8">
                  <c:v>4.7129736183506887</c:v>
                </c:pt>
                <c:pt idx="9">
                  <c:v>4.7068150397581157</c:v>
                </c:pt>
                <c:pt idx="10">
                  <c:v>4.6870471354708272</c:v>
                </c:pt>
                <c:pt idx="11">
                  <c:v>4.6763936142670408</c:v>
                </c:pt>
                <c:pt idx="12">
                  <c:v>4.6685899685132011</c:v>
                </c:pt>
                <c:pt idx="13">
                  <c:v>4.6690136055325269</c:v>
                </c:pt>
                <c:pt idx="14">
                  <c:v>4.6731121823640178</c:v>
                </c:pt>
                <c:pt idx="15">
                  <c:v>4.6513943273002454</c:v>
                </c:pt>
                <c:pt idx="16">
                  <c:v>4.6255295439339035</c:v>
                </c:pt>
                <c:pt idx="17">
                  <c:v>4.6217680981035967</c:v>
                </c:pt>
                <c:pt idx="18">
                  <c:v>4.641416597381113</c:v>
                </c:pt>
                <c:pt idx="19">
                  <c:v>4.6839633153374614</c:v>
                </c:pt>
                <c:pt idx="20">
                  <c:v>4.6855402150319883</c:v>
                </c:pt>
                <c:pt idx="21">
                  <c:v>4.6784437140320021</c:v>
                </c:pt>
                <c:pt idx="22">
                  <c:v>4.6648600080889038</c:v>
                </c:pt>
                <c:pt idx="23">
                  <c:v>4.6628324106343699</c:v>
                </c:pt>
                <c:pt idx="24">
                  <c:v>4.6383294870707772</c:v>
                </c:pt>
                <c:pt idx="25">
                  <c:v>4.6353902427989162</c:v>
                </c:pt>
                <c:pt idx="26">
                  <c:v>4.6272132121340483</c:v>
                </c:pt>
                <c:pt idx="27">
                  <c:v>4.6134083678360698</c:v>
                </c:pt>
                <c:pt idx="28">
                  <c:v>4.6341456287535356</c:v>
                </c:pt>
                <c:pt idx="29">
                  <c:v>4.6075150696584339</c:v>
                </c:pt>
                <c:pt idx="30">
                  <c:v>4.6075740357642889</c:v>
                </c:pt>
                <c:pt idx="31">
                  <c:v>4.59705973008119</c:v>
                </c:pt>
                <c:pt idx="32">
                  <c:v>4.6024289848375455</c:v>
                </c:pt>
                <c:pt idx="33">
                  <c:v>4.5904294046380487</c:v>
                </c:pt>
                <c:pt idx="34">
                  <c:v>4.5888082193289028</c:v>
                </c:pt>
                <c:pt idx="35">
                  <c:v>4.5822531831463751</c:v>
                </c:pt>
                <c:pt idx="36">
                  <c:v>4.5679117063421151</c:v>
                </c:pt>
                <c:pt idx="37">
                  <c:v>4.5696044576095645</c:v>
                </c:pt>
                <c:pt idx="38">
                  <c:v>4.5574302010443217</c:v>
                </c:pt>
                <c:pt idx="39">
                  <c:v>4.5472662956764474</c:v>
                </c:pt>
                <c:pt idx="40">
                  <c:v>4.5264323305234857</c:v>
                </c:pt>
                <c:pt idx="41">
                  <c:v>4.524179245305044</c:v>
                </c:pt>
                <c:pt idx="42">
                  <c:v>4.5158725196411176</c:v>
                </c:pt>
                <c:pt idx="43">
                  <c:v>4.5104645778548855</c:v>
                </c:pt>
                <c:pt idx="44">
                  <c:v>4.5009441657800737</c:v>
                </c:pt>
                <c:pt idx="45">
                  <c:v>4.4727052668169494</c:v>
                </c:pt>
                <c:pt idx="46">
                  <c:v>4.4794990104416668</c:v>
                </c:pt>
                <c:pt idx="47">
                  <c:v>4.4705692426075476</c:v>
                </c:pt>
                <c:pt idx="48">
                  <c:v>4.4819368409141349</c:v>
                </c:pt>
                <c:pt idx="49">
                  <c:v>4.4648679371041613</c:v>
                </c:pt>
                <c:pt idx="50">
                  <c:v>4.440624179573482</c:v>
                </c:pt>
                <c:pt idx="51">
                  <c:v>4.447305356264514</c:v>
                </c:pt>
                <c:pt idx="52">
                  <c:v>4.4439104250414951</c:v>
                </c:pt>
                <c:pt idx="53">
                  <c:v>4.4337042449069397</c:v>
                </c:pt>
                <c:pt idx="54">
                  <c:v>4.4274163177531998</c:v>
                </c:pt>
                <c:pt idx="55">
                  <c:v>4.4364091545212414</c:v>
                </c:pt>
                <c:pt idx="56">
                  <c:v>4.4253189762080689</c:v>
                </c:pt>
                <c:pt idx="57">
                  <c:v>4.4099077746645801</c:v>
                </c:pt>
                <c:pt idx="58">
                  <c:v>4.4084824917645236</c:v>
                </c:pt>
                <c:pt idx="59">
                  <c:v>4.4075438579770623</c:v>
                </c:pt>
                <c:pt idx="60">
                  <c:v>4.4207130390582652</c:v>
                </c:pt>
                <c:pt idx="61">
                  <c:v>4.4526327148768239</c:v>
                </c:pt>
                <c:pt idx="62">
                  <c:v>4.4452086439830625</c:v>
                </c:pt>
                <c:pt idx="63">
                  <c:v>4.4510753294780159</c:v>
                </c:pt>
                <c:pt idx="64">
                  <c:v>4.4529159725532477</c:v>
                </c:pt>
                <c:pt idx="65">
                  <c:v>4.4298442954786905</c:v>
                </c:pt>
                <c:pt idx="66">
                  <c:v>4.425157472953396</c:v>
                </c:pt>
                <c:pt idx="67">
                  <c:v>4.415791055742341</c:v>
                </c:pt>
                <c:pt idx="68">
                  <c:v>4.4084350147294931</c:v>
                </c:pt>
                <c:pt idx="69">
                  <c:v>4.4204805478013931</c:v>
                </c:pt>
                <c:pt idx="70">
                  <c:v>4.4073841052866767</c:v>
                </c:pt>
                <c:pt idx="71">
                  <c:v>4.3927584886038895</c:v>
                </c:pt>
                <c:pt idx="72">
                  <c:v>4.416708724485189</c:v>
                </c:pt>
                <c:pt idx="73">
                  <c:v>4.423231124062422</c:v>
                </c:pt>
                <c:pt idx="74">
                  <c:v>4.4141741794238518</c:v>
                </c:pt>
                <c:pt idx="75">
                  <c:v>4.4059436805121965</c:v>
                </c:pt>
                <c:pt idx="76">
                  <c:v>4.4121966985019272</c:v>
                </c:pt>
                <c:pt idx="77">
                  <c:v>4.4283729424859821</c:v>
                </c:pt>
                <c:pt idx="78">
                  <c:v>4.4512674275217954</c:v>
                </c:pt>
                <c:pt idx="79">
                  <c:v>4.4586227428679086</c:v>
                </c:pt>
                <c:pt idx="80">
                  <c:v>4.4485331858192207</c:v>
                </c:pt>
                <c:pt idx="81">
                  <c:v>4.4333697468565854</c:v>
                </c:pt>
                <c:pt idx="82">
                  <c:v>4.4452304558478604</c:v>
                </c:pt>
                <c:pt idx="83">
                  <c:v>4.4478058875035114</c:v>
                </c:pt>
                <c:pt idx="84">
                  <c:v>4.4269047132901402</c:v>
                </c:pt>
                <c:pt idx="85">
                  <c:v>4.4232540680950123</c:v>
                </c:pt>
                <c:pt idx="86">
                  <c:v>4.4232655396567679</c:v>
                </c:pt>
                <c:pt idx="87">
                  <c:v>4.4344108048426794</c:v>
                </c:pt>
                <c:pt idx="88">
                  <c:v>4.4464455144331563</c:v>
                </c:pt>
                <c:pt idx="89">
                  <c:v>4.4334225794692399</c:v>
                </c:pt>
                <c:pt idx="90">
                  <c:v>4.434399623933059</c:v>
                </c:pt>
                <c:pt idx="91">
                  <c:v>4.434926411124807</c:v>
                </c:pt>
                <c:pt idx="92">
                  <c:v>4.4390483352782439</c:v>
                </c:pt>
                <c:pt idx="93">
                  <c:v>4.4433490553135293</c:v>
                </c:pt>
                <c:pt idx="94">
                  <c:v>4.434642344685229</c:v>
                </c:pt>
                <c:pt idx="95">
                  <c:v>4.4360783252746749</c:v>
                </c:pt>
                <c:pt idx="96">
                  <c:v>4.4404162874645801</c:v>
                </c:pt>
                <c:pt idx="97">
                  <c:v>4.4453161347128809</c:v>
                </c:pt>
                <c:pt idx="98">
                  <c:v>4.4419903241326617</c:v>
                </c:pt>
                <c:pt idx="99">
                  <c:v>4.4356341726358659</c:v>
                </c:pt>
                <c:pt idx="100">
                  <c:v>4.4455497184694011</c:v>
                </c:pt>
                <c:pt idx="101">
                  <c:v>4.4521009165786083</c:v>
                </c:pt>
                <c:pt idx="102">
                  <c:v>4.4492160462062911</c:v>
                </c:pt>
                <c:pt idx="103">
                  <c:v>4.4478786721687529</c:v>
                </c:pt>
                <c:pt idx="104">
                  <c:v>4.4468958244631027</c:v>
                </c:pt>
                <c:pt idx="105">
                  <c:v>4.4751247084416201</c:v>
                </c:pt>
                <c:pt idx="106">
                  <c:v>4.4675119138709594</c:v>
                </c:pt>
                <c:pt idx="107">
                  <c:v>4.4693919251566712</c:v>
                </c:pt>
                <c:pt idx="108">
                  <c:v>4.4664138198249788</c:v>
                </c:pt>
                <c:pt idx="109">
                  <c:v>4.4548021903843775</c:v>
                </c:pt>
                <c:pt idx="110">
                  <c:v>4.4474107792122073</c:v>
                </c:pt>
                <c:pt idx="111">
                  <c:v>4.4418474653954494</c:v>
                </c:pt>
                <c:pt idx="112">
                  <c:v>4.4233491090333477</c:v>
                </c:pt>
                <c:pt idx="113">
                  <c:v>4.4086418410043731</c:v>
                </c:pt>
                <c:pt idx="114">
                  <c:v>4.4120016497737868</c:v>
                </c:pt>
                <c:pt idx="115">
                  <c:v>4.4148530651512852</c:v>
                </c:pt>
                <c:pt idx="116">
                  <c:v>4.4279937874838549</c:v>
                </c:pt>
                <c:pt idx="117">
                  <c:v>4.4286352406360896</c:v>
                </c:pt>
                <c:pt idx="118">
                  <c:v>4.4200201447981122</c:v>
                </c:pt>
                <c:pt idx="119">
                  <c:v>4.4122672979982962</c:v>
                </c:pt>
                <c:pt idx="120">
                  <c:v>4.4033178829069595</c:v>
                </c:pt>
                <c:pt idx="121">
                  <c:v>4.4275412850091413</c:v>
                </c:pt>
                <c:pt idx="122">
                  <c:v>4.4226062527870633</c:v>
                </c:pt>
                <c:pt idx="123">
                  <c:v>4.4211611815099792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8B-3B41-9A10-B2CC3793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265056"/>
        <c:axId val="549925536"/>
      </c:lineChart>
      <c:dateAx>
        <c:axId val="552677824"/>
        <c:scaling>
          <c:orientation val="minMax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498032"/>
        <c:crosses val="autoZero"/>
        <c:auto val="1"/>
        <c:lblOffset val="100"/>
        <c:baseTimeUnit val="months"/>
        <c:majorUnit val="1"/>
        <c:majorTimeUnit val="years"/>
        <c:minorUnit val="1"/>
        <c:minorTimeUnit val="months"/>
      </c:dateAx>
      <c:valAx>
        <c:axId val="502498032"/>
        <c:scaling>
          <c:orientation val="minMax"/>
          <c:min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Billions</a:t>
                </a:r>
                <a:r>
                  <a:rPr lang="en-US" baseline="0"/>
                  <a:t> of Yen, GDP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677824"/>
        <c:crosses val="autoZero"/>
        <c:crossBetween val="between"/>
      </c:valAx>
      <c:valAx>
        <c:axId val="549925536"/>
        <c:scaling>
          <c:orientation val="minMax"/>
          <c:max val="5"/>
          <c:min val="-0.2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Index,</a:t>
                </a:r>
                <a:r>
                  <a:rPr lang="en-US" baseline="0"/>
                  <a:t> Policy Rate and Log of Investment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265056"/>
        <c:crosses val="max"/>
        <c:crossBetween val="between"/>
      </c:valAx>
      <c:catAx>
        <c:axId val="550265056"/>
        <c:scaling>
          <c:orientation val="minMax"/>
        </c:scaling>
        <c:delete val="1"/>
        <c:axPos val="b"/>
        <c:majorTickMark val="out"/>
        <c:minorTickMark val="none"/>
        <c:tickLblPos val="nextTo"/>
        <c:crossAx val="5499255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Policy</a:t>
            </a:r>
            <a:r>
              <a:rPr lang="en-US" baseline="0"/>
              <a:t> Rate vs GDP: Pre and Post Abenomics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DATA!$Z$1</c:f>
              <c:strCache>
                <c:ptCount val="1"/>
                <c:pt idx="0">
                  <c:v>Pre-Abe Policy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6075106980433296"/>
                  <c:y val="-4.82229951838544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DATA!$Z$2:$Z$77</c:f>
              <c:numCache>
                <c:formatCode>0.000</c:formatCode>
                <c:ptCount val="76"/>
                <c:pt idx="0">
                  <c:v>2.3312499999999998</c:v>
                </c:pt>
                <c:pt idx="1">
                  <c:v>2.1749999999999998</c:v>
                </c:pt>
                <c:pt idx="2">
                  <c:v>2.0818500000000002</c:v>
                </c:pt>
                <c:pt idx="3">
                  <c:v>2.2374999999999998</c:v>
                </c:pt>
                <c:pt idx="4">
                  <c:v>2.25</c:v>
                </c:pt>
                <c:pt idx="5">
                  <c:v>1.5249999999999999</c:v>
                </c:pt>
                <c:pt idx="6">
                  <c:v>0.95</c:v>
                </c:pt>
                <c:pt idx="7">
                  <c:v>0.47</c:v>
                </c:pt>
                <c:pt idx="8">
                  <c:v>0.47</c:v>
                </c:pt>
                <c:pt idx="9">
                  <c:v>0.49</c:v>
                </c:pt>
                <c:pt idx="10">
                  <c:v>0.48</c:v>
                </c:pt>
                <c:pt idx="11">
                  <c:v>0.48</c:v>
                </c:pt>
                <c:pt idx="12">
                  <c:v>0.48</c:v>
                </c:pt>
                <c:pt idx="13">
                  <c:v>0.5</c:v>
                </c:pt>
                <c:pt idx="14">
                  <c:v>0.49</c:v>
                </c:pt>
                <c:pt idx="15">
                  <c:v>0.48</c:v>
                </c:pt>
                <c:pt idx="16">
                  <c:v>0.44</c:v>
                </c:pt>
                <c:pt idx="17">
                  <c:v>0.44</c:v>
                </c:pt>
                <c:pt idx="18">
                  <c:v>0.41</c:v>
                </c:pt>
                <c:pt idx="19">
                  <c:v>0.24</c:v>
                </c:pt>
                <c:pt idx="20">
                  <c:v>0.23</c:v>
                </c:pt>
                <c:pt idx="21">
                  <c:v>0.03</c:v>
                </c:pt>
                <c:pt idx="22">
                  <c:v>0.03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0.25</c:v>
                </c:pt>
                <c:pt idx="28">
                  <c:v>0.25</c:v>
                </c:pt>
                <c:pt idx="29">
                  <c:v>0.02</c:v>
                </c:pt>
                <c:pt idx="30">
                  <c:v>0.01</c:v>
                </c:pt>
                <c:pt idx="31">
                  <c:v>3.0000000000000001E-3</c:v>
                </c:pt>
                <c:pt idx="32">
                  <c:v>1E-3</c:v>
                </c:pt>
                <c:pt idx="33">
                  <c:v>1E-3</c:v>
                </c:pt>
                <c:pt idx="34">
                  <c:v>2E-3</c:v>
                </c:pt>
                <c:pt idx="35">
                  <c:v>2E-3</c:v>
                </c:pt>
                <c:pt idx="36">
                  <c:v>2E-3</c:v>
                </c:pt>
                <c:pt idx="37">
                  <c:v>1E-3</c:v>
                </c:pt>
                <c:pt idx="38">
                  <c:v>2E-3</c:v>
                </c:pt>
                <c:pt idx="39">
                  <c:v>1E-3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1E-3</c:v>
                </c:pt>
                <c:pt idx="44">
                  <c:v>1E-3</c:v>
                </c:pt>
                <c:pt idx="45">
                  <c:v>1E-3</c:v>
                </c:pt>
                <c:pt idx="46">
                  <c:v>1E-3</c:v>
                </c:pt>
                <c:pt idx="47">
                  <c:v>1E-3</c:v>
                </c:pt>
                <c:pt idx="48">
                  <c:v>1E-3</c:v>
                </c:pt>
                <c:pt idx="49">
                  <c:v>2E-3</c:v>
                </c:pt>
                <c:pt idx="50">
                  <c:v>0.155</c:v>
                </c:pt>
                <c:pt idx="51">
                  <c:v>0.254</c:v>
                </c:pt>
                <c:pt idx="52">
                  <c:v>0.26700000000000002</c:v>
                </c:pt>
                <c:pt idx="53">
                  <c:v>0.51100000000000001</c:v>
                </c:pt>
                <c:pt idx="54">
                  <c:v>0.499</c:v>
                </c:pt>
                <c:pt idx="55">
                  <c:v>0.50600000000000001</c:v>
                </c:pt>
                <c:pt idx="56">
                  <c:v>0.502</c:v>
                </c:pt>
                <c:pt idx="57">
                  <c:v>0.50600000000000001</c:v>
                </c:pt>
                <c:pt idx="58">
                  <c:v>0.503</c:v>
                </c:pt>
                <c:pt idx="59">
                  <c:v>0.48699999999999999</c:v>
                </c:pt>
                <c:pt idx="60">
                  <c:v>0.12</c:v>
                </c:pt>
                <c:pt idx="61">
                  <c:v>0.104</c:v>
                </c:pt>
                <c:pt idx="62">
                  <c:v>0.10199999999999999</c:v>
                </c:pt>
                <c:pt idx="63">
                  <c:v>0.106</c:v>
                </c:pt>
                <c:pt idx="64">
                  <c:v>9.6000000000000002E-2</c:v>
                </c:pt>
                <c:pt idx="65">
                  <c:v>9.2999999999999999E-2</c:v>
                </c:pt>
                <c:pt idx="66">
                  <c:v>9.4E-2</c:v>
                </c:pt>
                <c:pt idx="67">
                  <c:v>9.0999999999999998E-2</c:v>
                </c:pt>
                <c:pt idx="68">
                  <c:v>8.5000000000000006E-2</c:v>
                </c:pt>
                <c:pt idx="69">
                  <c:v>6.2E-2</c:v>
                </c:pt>
                <c:pt idx="70">
                  <c:v>7.2999999999999995E-2</c:v>
                </c:pt>
                <c:pt idx="71">
                  <c:v>8.1000000000000003E-2</c:v>
                </c:pt>
                <c:pt idx="72">
                  <c:v>0.08</c:v>
                </c:pt>
                <c:pt idx="73">
                  <c:v>7.4999999999999997E-2</c:v>
                </c:pt>
                <c:pt idx="74">
                  <c:v>8.4000000000000005E-2</c:v>
                </c:pt>
                <c:pt idx="75">
                  <c:v>8.5000000000000006E-2</c:v>
                </c:pt>
              </c:numCache>
            </c:numRef>
          </c:xVal>
          <c:yVal>
            <c:numRef>
              <c:f>DATA!$Y$2:$Y$77</c:f>
              <c:numCache>
                <c:formatCode>General</c:formatCode>
                <c:ptCount val="76"/>
                <c:pt idx="0">
                  <c:v>1104558.9660129501</c:v>
                </c:pt>
                <c:pt idx="1">
                  <c:v>1098600.9438373018</c:v>
                </c:pt>
                <c:pt idx="2">
                  <c:v>1111165.4723156479</c:v>
                </c:pt>
                <c:pt idx="3">
                  <c:v>1106885.9681729998</c:v>
                </c:pt>
                <c:pt idx="4">
                  <c:v>1118907.9149644978</c:v>
                </c:pt>
                <c:pt idx="5">
                  <c:v>1129620.6953150826</c:v>
                </c:pt>
                <c:pt idx="6">
                  <c:v>1142808.2026207438</c:v>
                </c:pt>
                <c:pt idx="7">
                  <c:v>1145706.3017095765</c:v>
                </c:pt>
                <c:pt idx="8">
                  <c:v>1155052.1722543258</c:v>
                </c:pt>
                <c:pt idx="9">
                  <c:v>1169744.2546171769</c:v>
                </c:pt>
                <c:pt idx="10">
                  <c:v>1171199.4824640106</c:v>
                </c:pt>
                <c:pt idx="11">
                  <c:v>1184314.9887837863</c:v>
                </c:pt>
                <c:pt idx="12">
                  <c:v>1187076.3731293357</c:v>
                </c:pt>
                <c:pt idx="13">
                  <c:v>1178485.2059878428</c:v>
                </c:pt>
                <c:pt idx="14">
                  <c:v>1180718.899939551</c:v>
                </c:pt>
                <c:pt idx="15">
                  <c:v>1181193.6787177918</c:v>
                </c:pt>
                <c:pt idx="16">
                  <c:v>1166595.4590263248</c:v>
                </c:pt>
                <c:pt idx="17">
                  <c:v>1161721.0952532643</c:v>
                </c:pt>
                <c:pt idx="18">
                  <c:v>1163735.2218420641</c:v>
                </c:pt>
                <c:pt idx="19">
                  <c:v>1173082.3597308947</c:v>
                </c:pt>
                <c:pt idx="20">
                  <c:v>1156834.9293384089</c:v>
                </c:pt>
                <c:pt idx="21">
                  <c:v>1161394.5957330884</c:v>
                </c:pt>
                <c:pt idx="22">
                  <c:v>1167534.0857400724</c:v>
                </c:pt>
                <c:pt idx="23">
                  <c:v>1167902.645242105</c:v>
                </c:pt>
                <c:pt idx="24">
                  <c:v>1188067.7530406672</c:v>
                </c:pt>
                <c:pt idx="25">
                  <c:v>1193396.776504596</c:v>
                </c:pt>
                <c:pt idx="26">
                  <c:v>1193734.2068675156</c:v>
                </c:pt>
                <c:pt idx="27">
                  <c:v>1205255.8695810402</c:v>
                </c:pt>
                <c:pt idx="28">
                  <c:v>1214243.6362124674</c:v>
                </c:pt>
                <c:pt idx="29">
                  <c:v>1205093.4911200115</c:v>
                </c:pt>
                <c:pt idx="30">
                  <c:v>1192103.2142377393</c:v>
                </c:pt>
                <c:pt idx="31">
                  <c:v>1187858.7996844728</c:v>
                </c:pt>
                <c:pt idx="32">
                  <c:v>1189970.0365138706</c:v>
                </c:pt>
                <c:pt idx="33">
                  <c:v>1199468.1467669588</c:v>
                </c:pt>
                <c:pt idx="34">
                  <c:v>1203448.1616602661</c:v>
                </c:pt>
                <c:pt idx="35">
                  <c:v>1206693.9882827175</c:v>
                </c:pt>
                <c:pt idx="36">
                  <c:v>1207441.0084124464</c:v>
                </c:pt>
                <c:pt idx="37">
                  <c:v>1215627.8135814741</c:v>
                </c:pt>
                <c:pt idx="38">
                  <c:v>1219412.4990675228</c:v>
                </c:pt>
                <c:pt idx="39">
                  <c:v>1232654.2645418784</c:v>
                </c:pt>
                <c:pt idx="40">
                  <c:v>1241965.2831242573</c:v>
                </c:pt>
                <c:pt idx="41">
                  <c:v>1241747.6959864725</c:v>
                </c:pt>
                <c:pt idx="42">
                  <c:v>1249485.7029310241</c:v>
                </c:pt>
                <c:pt idx="43">
                  <c:v>1247148.2451822674</c:v>
                </c:pt>
                <c:pt idx="44">
                  <c:v>1253443.6185118421</c:v>
                </c:pt>
                <c:pt idx="45">
                  <c:v>1263157.6525135916</c:v>
                </c:pt>
                <c:pt idx="46">
                  <c:v>1275999.1748837486</c:v>
                </c:pt>
                <c:pt idx="47">
                  <c:v>1278369.9796237792</c:v>
                </c:pt>
                <c:pt idx="48">
                  <c:v>1280273.2136050353</c:v>
                </c:pt>
                <c:pt idx="49">
                  <c:v>1282174.7049881825</c:v>
                </c:pt>
                <c:pt idx="50">
                  <c:v>1279641.0465331059</c:v>
                </c:pt>
                <c:pt idx="51">
                  <c:v>1297134.8306252407</c:v>
                </c:pt>
                <c:pt idx="52">
                  <c:v>1305515.3810214221</c:v>
                </c:pt>
                <c:pt idx="53">
                  <c:v>1305957.2088534315</c:v>
                </c:pt>
                <c:pt idx="54">
                  <c:v>1298897.9438759866</c:v>
                </c:pt>
                <c:pt idx="55">
                  <c:v>1304763.3707243484</c:v>
                </c:pt>
                <c:pt idx="56">
                  <c:v>1309513.2179409517</c:v>
                </c:pt>
                <c:pt idx="57">
                  <c:v>1301582.6539043223</c:v>
                </c:pt>
                <c:pt idx="58">
                  <c:v>1285446.8290004153</c:v>
                </c:pt>
                <c:pt idx="59">
                  <c:v>1253848.8517833585</c:v>
                </c:pt>
                <c:pt idx="60">
                  <c:v>1193233.922789546</c:v>
                </c:pt>
                <c:pt idx="61">
                  <c:v>1216824.10718973</c:v>
                </c:pt>
                <c:pt idx="62">
                  <c:v>1216297.3673039526</c:v>
                </c:pt>
                <c:pt idx="63">
                  <c:v>1231394.8413563366</c:v>
                </c:pt>
                <c:pt idx="64">
                  <c:v>1244080.1635678899</c:v>
                </c:pt>
                <c:pt idx="65">
                  <c:v>1259308.5701061634</c:v>
                </c:pt>
                <c:pt idx="66">
                  <c:v>1281969.3160372323</c:v>
                </c:pt>
                <c:pt idx="67">
                  <c:v>1271685.4524507774</c:v>
                </c:pt>
                <c:pt idx="68">
                  <c:v>1257984.2747452271</c:v>
                </c:pt>
                <c:pt idx="69">
                  <c:v>1247343.8122165529</c:v>
                </c:pt>
                <c:pt idx="70">
                  <c:v>1277478.1654322045</c:v>
                </c:pt>
                <c:pt idx="71">
                  <c:v>1276022.1454953153</c:v>
                </c:pt>
                <c:pt idx="72">
                  <c:v>1293682.3477077524</c:v>
                </c:pt>
                <c:pt idx="73">
                  <c:v>1281722.0255224374</c:v>
                </c:pt>
                <c:pt idx="74">
                  <c:v>1276748.8881196743</c:v>
                </c:pt>
                <c:pt idx="75">
                  <c:v>1276267.4557849762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E2-F840-8DAB-BC97FC8928F3}"/>
            </c:ext>
          </c:extLst>
        </c:ser>
        <c:ser>
          <c:idx val="1"/>
          <c:order val="1"/>
          <c:tx>
            <c:v>Post-Abe Policy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0832368537198491E-2"/>
                  <c:y val="-0.2191650103203119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DATA!$AA$78:$AA$125</c:f>
              <c:numCache>
                <c:formatCode>0.000</c:formatCode>
                <c:ptCount val="48"/>
                <c:pt idx="0">
                  <c:v>8.3000000000000004E-2</c:v>
                </c:pt>
                <c:pt idx="1">
                  <c:v>7.1999999999999995E-2</c:v>
                </c:pt>
                <c:pt idx="2">
                  <c:v>7.2999999999999995E-2</c:v>
                </c:pt>
                <c:pt idx="3">
                  <c:v>7.0000000000000007E-2</c:v>
                </c:pt>
                <c:pt idx="4">
                  <c:v>7.2999999999999995E-2</c:v>
                </c:pt>
                <c:pt idx="5">
                  <c:v>6.5000000000000002E-2</c:v>
                </c:pt>
                <c:pt idx="6">
                  <c:v>6.6000000000000003E-2</c:v>
                </c:pt>
                <c:pt idx="7">
                  <c:v>5.8999999999999997E-2</c:v>
                </c:pt>
                <c:pt idx="8">
                  <c:v>7.3999999999999996E-2</c:v>
                </c:pt>
                <c:pt idx="9">
                  <c:v>6.0999999999999999E-2</c:v>
                </c:pt>
                <c:pt idx="10">
                  <c:v>7.3999999999999996E-2</c:v>
                </c:pt>
                <c:pt idx="11">
                  <c:v>7.5999999999999998E-2</c:v>
                </c:pt>
                <c:pt idx="12">
                  <c:v>7.3999999999999996E-2</c:v>
                </c:pt>
                <c:pt idx="13">
                  <c:v>-3.6999999999999998E-2</c:v>
                </c:pt>
                <c:pt idx="14">
                  <c:v>-4.2999999999999997E-2</c:v>
                </c:pt>
                <c:pt idx="15">
                  <c:v>-3.6999999999999998E-2</c:v>
                </c:pt>
                <c:pt idx="16">
                  <c:v>-4.4999999999999998E-2</c:v>
                </c:pt>
                <c:pt idx="17">
                  <c:v>-5.3999999999999999E-2</c:v>
                </c:pt>
                <c:pt idx="18">
                  <c:v>-5.3999999999999999E-2</c:v>
                </c:pt>
                <c:pt idx="19">
                  <c:v>-3.6999999999999998E-2</c:v>
                </c:pt>
                <c:pt idx="20">
                  <c:v>-0.04</c:v>
                </c:pt>
                <c:pt idx="21">
                  <c:v>-6.3E-2</c:v>
                </c:pt>
                <c:pt idx="22">
                  <c:v>-7.0000000000000007E-2</c:v>
                </c:pt>
                <c:pt idx="23">
                  <c:v>-0.06</c:v>
                </c:pt>
                <c:pt idx="24">
                  <c:v>-6.4000000000000001E-2</c:v>
                </c:pt>
                <c:pt idx="25">
                  <c:v>-6.8000000000000005E-2</c:v>
                </c:pt>
                <c:pt idx="26">
                  <c:v>-7.0999999999999994E-2</c:v>
                </c:pt>
                <c:pt idx="27">
                  <c:v>-2.1999999999999999E-2</c:v>
                </c:pt>
                <c:pt idx="28">
                  <c:v>-3.2000000000000001E-2</c:v>
                </c:pt>
                <c:pt idx="29">
                  <c:v>-3.5999999999999997E-2</c:v>
                </c:pt>
                <c:pt idx="30">
                  <c:v>-2.8000000000000001E-2</c:v>
                </c:pt>
                <c:pt idx="31">
                  <c:v>-0.02</c:v>
                </c:pt>
                <c:pt idx="32">
                  <c:v>-1.7000000000000001E-2</c:v>
                </c:pt>
                <c:pt idx="33">
                  <c:v>-1.2E-2</c:v>
                </c:pt>
                <c:pt idx="34">
                  <c:v>-3.5999999999999997E-2</c:v>
                </c:pt>
                <c:pt idx="35">
                  <c:v>-2.7E-2</c:v>
                </c:pt>
                <c:pt idx="36">
                  <c:v>-0.02</c:v>
                </c:pt>
                <c:pt idx="37">
                  <c:v>-1.2E-2</c:v>
                </c:pt>
                <c:pt idx="38">
                  <c:v>-1.2E-2</c:v>
                </c:pt>
                <c:pt idx="39">
                  <c:v>-0.05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-4.5999999999999999E-2</c:v>
                </c:pt>
                <c:pt idx="43">
                  <c:v>-0.02</c:v>
                </c:pt>
                <c:pt idx="44">
                  <c:v>-1.4E-2</c:v>
                </c:pt>
                <c:pt idx="45">
                  <c:v>7.6999999999999999E-2</c:v>
                </c:pt>
                <c:pt idx="46">
                  <c:v>7.8E-2</c:v>
                </c:pt>
                <c:pt idx="47">
                  <c:v>0.22700000000000001</c:v>
                </c:pt>
              </c:numCache>
            </c:numRef>
          </c:xVal>
          <c:yVal>
            <c:numRef>
              <c:f>DATA!$AB$78:$AB$125</c:f>
              <c:numCache>
                <c:formatCode>General</c:formatCode>
                <c:ptCount val="48"/>
                <c:pt idx="0">
                  <c:v>1293376.600946987</c:v>
                </c:pt>
                <c:pt idx="1">
                  <c:v>1305218.109624234</c:v>
                </c:pt>
                <c:pt idx="2">
                  <c:v>1317773.7666939837</c:v>
                </c:pt>
                <c:pt idx="3">
                  <c:v>1316522.9772900322</c:v>
                </c:pt>
                <c:pt idx="4">
                  <c:v>1326533.9658529542</c:v>
                </c:pt>
                <c:pt idx="5">
                  <c:v>1302938.1576133848</c:v>
                </c:pt>
                <c:pt idx="6">
                  <c:v>1304179.5211456947</c:v>
                </c:pt>
                <c:pt idx="7">
                  <c:v>1310398.3785760647</c:v>
                </c:pt>
                <c:pt idx="8">
                  <c:v>1330074.1331393919</c:v>
                </c:pt>
                <c:pt idx="9">
                  <c:v>1332270.2820225542</c:v>
                </c:pt>
                <c:pt idx="10">
                  <c:v>1333797.9069002983</c:v>
                </c:pt>
                <c:pt idx="11">
                  <c:v>1331504.8061945576</c:v>
                </c:pt>
                <c:pt idx="12">
                  <c:v>1341312.148404649</c:v>
                </c:pt>
                <c:pt idx="13">
                  <c:v>1339146.7326155775</c:v>
                </c:pt>
                <c:pt idx="14">
                  <c:v>1342122.2981116755</c:v>
                </c:pt>
                <c:pt idx="15">
                  <c:v>1343926.8376722441</c:v>
                </c:pt>
                <c:pt idx="16">
                  <c:v>1354257.5929898729</c:v>
                </c:pt>
                <c:pt idx="17">
                  <c:v>1359598.8146406326</c:v>
                </c:pt>
                <c:pt idx="18">
                  <c:v>1371482.066463724</c:v>
                </c:pt>
                <c:pt idx="19">
                  <c:v>1372328.4938952047</c:v>
                </c:pt>
                <c:pt idx="20">
                  <c:v>1373306.7251116524</c:v>
                </c:pt>
                <c:pt idx="21">
                  <c:v>1378590.4410245025</c:v>
                </c:pt>
                <c:pt idx="22">
                  <c:v>1371706.8616209948</c:v>
                </c:pt>
                <c:pt idx="23">
                  <c:v>1368483.055102034</c:v>
                </c:pt>
                <c:pt idx="24">
                  <c:v>1371720.3271519018</c:v>
                </c:pt>
                <c:pt idx="25">
                  <c:v>1377799.6183147973</c:v>
                </c:pt>
                <c:pt idx="26">
                  <c:v>1380366.6237611382</c:v>
                </c:pt>
                <c:pt idx="27">
                  <c:v>1340372.0959288115</c:v>
                </c:pt>
                <c:pt idx="28">
                  <c:v>1347638.2548283129</c:v>
                </c:pt>
                <c:pt idx="29">
                  <c:v>1245118.5144194164</c:v>
                </c:pt>
                <c:pt idx="30">
                  <c:v>1312371.9501541003</c:v>
                </c:pt>
                <c:pt idx="31">
                  <c:v>1334951.6652726643</c:v>
                </c:pt>
                <c:pt idx="32">
                  <c:v>1338897.8579206739</c:v>
                </c:pt>
                <c:pt idx="33">
                  <c:v>1347596.7493094904</c:v>
                </c:pt>
                <c:pt idx="34">
                  <c:v>1341732.7482232128</c:v>
                </c:pt>
                <c:pt idx="35">
                  <c:v>1357290.8226418898</c:v>
                </c:pt>
                <c:pt idx="36">
                  <c:v>1348538.0691294181</c:v>
                </c:pt>
                <c:pt idx="37">
                  <c:v>1364399.1972026709</c:v>
                </c:pt>
                <c:pt idx="38">
                  <c:v>1358961.6574013694</c:v>
                </c:pt>
                <c:pt idx="39">
                  <c:v>1362894.2261004492</c:v>
                </c:pt>
                <c:pt idx="40">
                  <c:v>1379028.7836602735</c:v>
                </c:pt>
                <c:pt idx="41">
                  <c:v>1387682.3674979992</c:v>
                </c:pt>
                <c:pt idx="42">
                  <c:v>1374318.38252835</c:v>
                </c:pt>
                <c:pt idx="43">
                  <c:v>1374611.9311022931</c:v>
                </c:pt>
                <c:pt idx="44">
                  <c:v>1367492.7841167748</c:v>
                </c:pt>
                <c:pt idx="45">
                  <c:v>1378462.9145258463</c:v>
                </c:pt>
                <c:pt idx="46">
                  <c:v>1383357.2389682482</c:v>
                </c:pt>
                <c:pt idx="47">
                  <c:v>1391050.809660777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E2-F840-8DAB-BC97FC892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83680"/>
        <c:axId val="552195568"/>
      </c:scatterChart>
      <c:valAx>
        <c:axId val="500583680"/>
        <c:scaling>
          <c:orientation val="minMax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Policy</a:t>
                </a:r>
                <a:r>
                  <a:rPr lang="en-US" baseline="0"/>
                  <a:t> Rate,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195568"/>
        <c:crosses val="autoZero"/>
        <c:crossBetween val="midCat"/>
      </c:valAx>
      <c:valAx>
        <c:axId val="552195568"/>
        <c:scaling>
          <c:orientation val="minMax"/>
          <c:min val="10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GDP, Billions</a:t>
                </a:r>
                <a:r>
                  <a:rPr lang="en-US" baseline="0"/>
                  <a:t> of Yen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583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254000</xdr:colOff>
      <xdr:row>31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8F8777-533C-AB49-B518-8043503CC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241300</xdr:colOff>
      <xdr:row>0</xdr:row>
      <xdr:rowOff>127000</xdr:rowOff>
    </xdr:from>
    <xdr:to>
      <xdr:col>23</xdr:col>
      <xdr:colOff>698500</xdr:colOff>
      <xdr:row>25</xdr:row>
      <xdr:rowOff>177800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BD9BCBF-25B1-FD4F-9337-FF015A124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800100</xdr:colOff>
      <xdr:row>0</xdr:row>
      <xdr:rowOff>0</xdr:rowOff>
    </xdr:from>
    <xdr:to>
      <xdr:col>12</xdr:col>
      <xdr:colOff>139700</xdr:colOff>
      <xdr:row>30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0C76C9-3668-B246-97AF-E5B9B8B41C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88900</xdr:colOff>
      <xdr:row>30</xdr:row>
      <xdr:rowOff>139700</xdr:rowOff>
    </xdr:from>
    <xdr:to>
      <xdr:col>14</xdr:col>
      <xdr:colOff>749300</xdr:colOff>
      <xdr:row>45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B3F69-3DC8-17E4-D450-CBA21731F3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88900</xdr:colOff>
      <xdr:row>0</xdr:row>
      <xdr:rowOff>63500</xdr:rowOff>
    </xdr:from>
    <xdr:to>
      <xdr:col>19</xdr:col>
      <xdr:colOff>419100</xdr:colOff>
      <xdr:row>30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234EE9-2997-24F6-5AFC-8CB5003CE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88900</xdr:colOff>
      <xdr:row>45</xdr:row>
      <xdr:rowOff>190500</xdr:rowOff>
    </xdr:from>
    <xdr:to>
      <xdr:col>14</xdr:col>
      <xdr:colOff>647700</xdr:colOff>
      <xdr:row>63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AD7013-154C-4CF4-88A4-ADF68579D2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23</xdr:row>
      <xdr:rowOff>127000</xdr:rowOff>
    </xdr:from>
    <xdr:to>
      <xdr:col>15</xdr:col>
      <xdr:colOff>431800</xdr:colOff>
      <xdr:row>41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6B4A2D-561C-9587-C4BE-C62764B4C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0</xdr:row>
      <xdr:rowOff>76200</xdr:rowOff>
    </xdr:from>
    <xdr:to>
      <xdr:col>18</xdr:col>
      <xdr:colOff>215900</xdr:colOff>
      <xdr:row>23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1F4EE5-3821-0D4E-D0AE-06F4DDBB9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41</xdr:row>
      <xdr:rowOff>177800</xdr:rowOff>
    </xdr:from>
    <xdr:to>
      <xdr:col>15</xdr:col>
      <xdr:colOff>203200</xdr:colOff>
      <xdr:row>59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57C2BA-0EA0-C173-0FC3-80F2256EF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27</xdr:row>
      <xdr:rowOff>114300</xdr:rowOff>
    </xdr:from>
    <xdr:to>
      <xdr:col>16</xdr:col>
      <xdr:colOff>457200</xdr:colOff>
      <xdr:row>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6B041-F627-6B7B-D01E-C5FFE93DD2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800100</xdr:colOff>
      <xdr:row>0</xdr:row>
      <xdr:rowOff>25400</xdr:rowOff>
    </xdr:from>
    <xdr:to>
      <xdr:col>19</xdr:col>
      <xdr:colOff>304800</xdr:colOff>
      <xdr:row>26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D02FAF-95F3-BF1B-9F03-E7616033B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47</xdr:row>
      <xdr:rowOff>38100</xdr:rowOff>
    </xdr:from>
    <xdr:to>
      <xdr:col>15</xdr:col>
      <xdr:colOff>228600</xdr:colOff>
      <xdr:row>66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E1F4B6-B6F3-8598-A4BF-1C766A341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0</xdr:row>
      <xdr:rowOff>0</xdr:rowOff>
    </xdr:from>
    <xdr:to>
      <xdr:col>21</xdr:col>
      <xdr:colOff>190500</xdr:colOff>
      <xdr:row>27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A64B7A-0F9D-3146-A60E-13F90A3E3B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292100</xdr:colOff>
      <xdr:row>24</xdr:row>
      <xdr:rowOff>127000</xdr:rowOff>
    </xdr:from>
    <xdr:to>
      <xdr:col>16</xdr:col>
      <xdr:colOff>139700</xdr:colOff>
      <xdr:row>42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441606-3A40-7E26-5236-A535A3878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139700</xdr:colOff>
      <xdr:row>0</xdr:row>
      <xdr:rowOff>76200</xdr:rowOff>
    </xdr:from>
    <xdr:to>
      <xdr:col>18</xdr:col>
      <xdr:colOff>406400</xdr:colOff>
      <xdr:row>22</xdr:row>
      <xdr:rowOff>203200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1097A07-A445-DD45-988A-BF68B8F22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165100</xdr:colOff>
      <xdr:row>0</xdr:row>
      <xdr:rowOff>63500</xdr:rowOff>
    </xdr:from>
    <xdr:to>
      <xdr:col>9</xdr:col>
      <xdr:colOff>101600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1459E8-9888-744E-9595-B838AC0CE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787400</xdr:colOff>
      <xdr:row>0</xdr:row>
      <xdr:rowOff>63500</xdr:rowOff>
    </xdr:from>
    <xdr:to>
      <xdr:col>19</xdr:col>
      <xdr:colOff>774700</xdr:colOff>
      <xdr:row>24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B2F2FD-D03E-5E43-8B38-A535C7768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812800</xdr:colOff>
      <xdr:row>25</xdr:row>
      <xdr:rowOff>127000</xdr:rowOff>
    </xdr:from>
    <xdr:to>
      <xdr:col>15</xdr:col>
      <xdr:colOff>139700</xdr:colOff>
      <xdr:row>54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276A8B-8CE6-BE41-ACD5-71A6FB207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215900</xdr:colOff>
      <xdr:row>55</xdr:row>
      <xdr:rowOff>76200</xdr:rowOff>
    </xdr:from>
    <xdr:to>
      <xdr:col>21</xdr:col>
      <xdr:colOff>571500</xdr:colOff>
      <xdr:row>84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298AD05-9283-DC4B-BEFF-C30538446E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508000</xdr:colOff>
      <xdr:row>56</xdr:row>
      <xdr:rowOff>76200</xdr:rowOff>
    </xdr:from>
    <xdr:to>
      <xdr:col>10</xdr:col>
      <xdr:colOff>69850</xdr:colOff>
      <xdr:row>82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4E1C617-C745-A945-99DA-517475B01D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0.6069</cdr:x>
      <cdr:y>0.09021</cdr:y>
    </cdr:from>
    <cdr:to>
      <cdr:x>0.60862</cdr:x>
      <cdr:y>0.94845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ADA7511E-494E-3B9E-DC9B-6979BF7E0510}"/>
            </a:ext>
          </a:extLst>
        </cdr:cNvPr>
        <cdr:cNvCxnSpPr/>
      </cdr:nvCxnSpPr>
      <cdr:spPr>
        <a:xfrm xmlns:a="http://schemas.openxmlformats.org/drawingml/2006/main" flipV="1">
          <a:off x="4470400" y="444500"/>
          <a:ext cx="12700" cy="42291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0.57711</cdr:x>
      <cdr:y>0.08257</cdr:y>
    </cdr:from>
    <cdr:to>
      <cdr:x>0.57711</cdr:x>
      <cdr:y>0.88073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BBFBBC2-784A-55A2-F565-D237CDC6F0DF}"/>
            </a:ext>
          </a:extLst>
        </cdr:cNvPr>
        <cdr:cNvCxnSpPr/>
      </cdr:nvCxnSpPr>
      <cdr:spPr>
        <a:xfrm xmlns:a="http://schemas.openxmlformats.org/drawingml/2006/main" flipV="1">
          <a:off x="4610100" y="457200"/>
          <a:ext cx="0" cy="44196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FF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ivanisamlal/Desktop/wr_hp_filter/HPFilter.xla" TargetMode="External"/><Relationship Id="rId1" Type="http://schemas.openxmlformats.org/officeDocument/2006/relationships/externalLinkPath" Target="/Users/shivanisamlal/Desktop/wr_hp_filter/HPFilter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</sheetNames>
    <definedNames>
      <definedName name="hp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23A3-8E07-4A4C-9DF4-33188D21AEBB}">
  <dimension ref="A1:B107"/>
  <sheetViews>
    <sheetView tabSelected="1" workbookViewId="0">
      <selection activeCell="B24" sqref="B24"/>
    </sheetView>
  </sheetViews>
  <sheetFormatPr baseColWidth="10" defaultRowHeight="16" x14ac:dyDescent="0.2"/>
  <cols>
    <col min="1" max="1" width="65.83203125" bestFit="1" customWidth="1"/>
    <col min="2" max="2" width="137.5" bestFit="1" customWidth="1"/>
  </cols>
  <sheetData>
    <row r="1" spans="1:2" x14ac:dyDescent="0.2">
      <c r="A1" s="19" t="s">
        <v>63</v>
      </c>
    </row>
    <row r="2" spans="1:2" x14ac:dyDescent="0.2">
      <c r="A2" s="20">
        <v>45789</v>
      </c>
    </row>
    <row r="3" spans="1:2" x14ac:dyDescent="0.2">
      <c r="A3" t="s">
        <v>64</v>
      </c>
    </row>
    <row r="4" spans="1:2" x14ac:dyDescent="0.2">
      <c r="A4" t="s">
        <v>65</v>
      </c>
    </row>
    <row r="6" spans="1:2" x14ac:dyDescent="0.2">
      <c r="A6" s="21" t="s">
        <v>71</v>
      </c>
      <c r="B6" s="21" t="s">
        <v>72</v>
      </c>
    </row>
    <row r="7" spans="1:2" x14ac:dyDescent="0.2">
      <c r="A7" s="1" t="s">
        <v>0</v>
      </c>
      <c r="B7" t="s">
        <v>73</v>
      </c>
    </row>
    <row r="8" spans="1:2" x14ac:dyDescent="0.2">
      <c r="A8" s="1" t="s">
        <v>66</v>
      </c>
      <c r="B8" t="s">
        <v>75</v>
      </c>
    </row>
    <row r="9" spans="1:2" x14ac:dyDescent="0.2">
      <c r="A9" s="1" t="s">
        <v>67</v>
      </c>
      <c r="B9" t="s">
        <v>74</v>
      </c>
    </row>
    <row r="10" spans="1:2" x14ac:dyDescent="0.2">
      <c r="A10" s="1" t="s">
        <v>55</v>
      </c>
      <c r="B10" t="s">
        <v>91</v>
      </c>
    </row>
    <row r="11" spans="1:2" x14ac:dyDescent="0.2">
      <c r="A11" s="1" t="s">
        <v>43</v>
      </c>
      <c r="B11" s="22" t="s">
        <v>97</v>
      </c>
    </row>
    <row r="12" spans="1:2" x14ac:dyDescent="0.2">
      <c r="A12" s="1" t="s">
        <v>60</v>
      </c>
      <c r="B12" t="s">
        <v>81</v>
      </c>
    </row>
    <row r="13" spans="1:2" x14ac:dyDescent="0.2">
      <c r="A13" s="1" t="s">
        <v>68</v>
      </c>
      <c r="B13" t="s">
        <v>94</v>
      </c>
    </row>
    <row r="14" spans="1:2" x14ac:dyDescent="0.2">
      <c r="A14" s="1" t="s">
        <v>4</v>
      </c>
      <c r="B14" t="s">
        <v>92</v>
      </c>
    </row>
    <row r="15" spans="1:2" x14ac:dyDescent="0.2">
      <c r="A15" s="1" t="s">
        <v>69</v>
      </c>
      <c r="B15" s="22" t="s">
        <v>102</v>
      </c>
    </row>
    <row r="16" spans="1:2" x14ac:dyDescent="0.2">
      <c r="A16" s="1" t="s">
        <v>5</v>
      </c>
      <c r="B16" s="22" t="s">
        <v>103</v>
      </c>
    </row>
    <row r="17" spans="1:2" x14ac:dyDescent="0.2">
      <c r="A17" s="1" t="s">
        <v>6</v>
      </c>
      <c r="B17" t="s">
        <v>77</v>
      </c>
    </row>
    <row r="18" spans="1:2" x14ac:dyDescent="0.2">
      <c r="A18" s="7" t="s">
        <v>9</v>
      </c>
      <c r="B18" t="s">
        <v>93</v>
      </c>
    </row>
    <row r="19" spans="1:2" x14ac:dyDescent="0.2">
      <c r="A19" s="1" t="s">
        <v>8</v>
      </c>
      <c r="B19" t="s">
        <v>80</v>
      </c>
    </row>
    <row r="20" spans="1:2" x14ac:dyDescent="0.2">
      <c r="A20" s="7" t="s">
        <v>7</v>
      </c>
      <c r="B20" t="s">
        <v>95</v>
      </c>
    </row>
    <row r="21" spans="1:2" x14ac:dyDescent="0.2">
      <c r="A21" s="7" t="s">
        <v>41</v>
      </c>
      <c r="B21" s="22" t="s">
        <v>96</v>
      </c>
    </row>
    <row r="22" spans="1:2" x14ac:dyDescent="0.2">
      <c r="A22" s="7" t="s">
        <v>44</v>
      </c>
      <c r="B22" s="19" t="s">
        <v>100</v>
      </c>
    </row>
    <row r="23" spans="1:2" x14ac:dyDescent="0.2">
      <c r="A23" s="7" t="s">
        <v>46</v>
      </c>
      <c r="B23" s="19" t="s">
        <v>101</v>
      </c>
    </row>
    <row r="24" spans="1:2" x14ac:dyDescent="0.2">
      <c r="A24" s="7" t="s">
        <v>78</v>
      </c>
      <c r="B24" t="s">
        <v>89</v>
      </c>
    </row>
    <row r="25" spans="1:2" x14ac:dyDescent="0.2">
      <c r="A25" s="7" t="s">
        <v>70</v>
      </c>
      <c r="B25" t="s">
        <v>90</v>
      </c>
    </row>
    <row r="26" spans="1:2" x14ac:dyDescent="0.2">
      <c r="A26" s="5" t="s">
        <v>98</v>
      </c>
      <c r="B26" t="s">
        <v>88</v>
      </c>
    </row>
    <row r="27" spans="1:2" x14ac:dyDescent="0.2">
      <c r="A27" s="5" t="s">
        <v>52</v>
      </c>
      <c r="B27" s="22" t="s">
        <v>99</v>
      </c>
    </row>
    <row r="28" spans="1:2" x14ac:dyDescent="0.2">
      <c r="A28" s="5" t="s">
        <v>53</v>
      </c>
      <c r="B28" t="s">
        <v>76</v>
      </c>
    </row>
    <row r="29" spans="1:2" x14ac:dyDescent="0.2">
      <c r="A29" s="5" t="s">
        <v>56</v>
      </c>
      <c r="B29" t="s">
        <v>82</v>
      </c>
    </row>
    <row r="30" spans="1:2" x14ac:dyDescent="0.2">
      <c r="A30" s="5" t="s">
        <v>58</v>
      </c>
      <c r="B30" t="s">
        <v>83</v>
      </c>
    </row>
    <row r="31" spans="1:2" x14ac:dyDescent="0.2">
      <c r="A31" s="5" t="s">
        <v>57</v>
      </c>
      <c r="B31" t="s">
        <v>84</v>
      </c>
    </row>
    <row r="32" spans="1:2" x14ac:dyDescent="0.2">
      <c r="A32" s="5" t="s">
        <v>61</v>
      </c>
      <c r="B32" t="s">
        <v>85</v>
      </c>
    </row>
    <row r="33" spans="1:2" x14ac:dyDescent="0.2">
      <c r="A33" s="5" t="s">
        <v>62</v>
      </c>
      <c r="B33" t="s">
        <v>86</v>
      </c>
    </row>
    <row r="34" spans="1:2" x14ac:dyDescent="0.2">
      <c r="A34" s="7" t="s">
        <v>59</v>
      </c>
      <c r="B34" t="s">
        <v>87</v>
      </c>
    </row>
    <row r="35" spans="1:2" x14ac:dyDescent="0.2">
      <c r="A35" s="7"/>
    </row>
    <row r="36" spans="1:2" x14ac:dyDescent="0.2">
      <c r="A36" s="7"/>
    </row>
    <row r="37" spans="1:2" x14ac:dyDescent="0.2">
      <c r="A37" s="7"/>
    </row>
    <row r="38" spans="1:2" x14ac:dyDescent="0.2">
      <c r="A38" s="7"/>
    </row>
    <row r="39" spans="1:2" x14ac:dyDescent="0.2">
      <c r="A39" s="7"/>
    </row>
    <row r="40" spans="1:2" x14ac:dyDescent="0.2">
      <c r="A40" s="7"/>
    </row>
    <row r="41" spans="1:2" x14ac:dyDescent="0.2">
      <c r="A41" s="7"/>
    </row>
    <row r="42" spans="1:2" x14ac:dyDescent="0.2">
      <c r="A42" s="7"/>
    </row>
    <row r="43" spans="1:2" x14ac:dyDescent="0.2">
      <c r="A43" s="7"/>
    </row>
    <row r="44" spans="1:2" x14ac:dyDescent="0.2">
      <c r="A44" s="7"/>
    </row>
    <row r="45" spans="1:2" x14ac:dyDescent="0.2">
      <c r="A45" s="7"/>
    </row>
    <row r="46" spans="1:2" x14ac:dyDescent="0.2">
      <c r="A46" s="7"/>
    </row>
    <row r="47" spans="1:2" x14ac:dyDescent="0.2">
      <c r="A47" s="7"/>
    </row>
    <row r="48" spans="1:2" x14ac:dyDescent="0.2">
      <c r="A48" s="7"/>
    </row>
    <row r="49" spans="1:1" x14ac:dyDescent="0.2">
      <c r="A49" s="7"/>
    </row>
    <row r="50" spans="1:1" x14ac:dyDescent="0.2">
      <c r="A50" s="7"/>
    </row>
    <row r="51" spans="1:1" x14ac:dyDescent="0.2">
      <c r="A51" s="7"/>
    </row>
    <row r="52" spans="1:1" x14ac:dyDescent="0.2">
      <c r="A52" s="7"/>
    </row>
    <row r="53" spans="1:1" x14ac:dyDescent="0.2">
      <c r="A53" s="7"/>
    </row>
    <row r="54" spans="1:1" x14ac:dyDescent="0.2">
      <c r="A54" s="7"/>
    </row>
    <row r="55" spans="1:1" x14ac:dyDescent="0.2">
      <c r="A55" s="7"/>
    </row>
    <row r="56" spans="1:1" x14ac:dyDescent="0.2">
      <c r="A56" s="7"/>
    </row>
    <row r="57" spans="1:1" x14ac:dyDescent="0.2">
      <c r="A57" s="7"/>
    </row>
    <row r="58" spans="1:1" x14ac:dyDescent="0.2">
      <c r="A58" s="7"/>
    </row>
    <row r="59" spans="1:1" x14ac:dyDescent="0.2">
      <c r="A59" s="7"/>
    </row>
    <row r="60" spans="1:1" x14ac:dyDescent="0.2">
      <c r="A60" s="7"/>
    </row>
    <row r="61" spans="1:1" x14ac:dyDescent="0.2">
      <c r="A61" s="7"/>
    </row>
    <row r="62" spans="1:1" x14ac:dyDescent="0.2">
      <c r="A62" s="7"/>
    </row>
    <row r="63" spans="1:1" x14ac:dyDescent="0.2">
      <c r="A63" s="7"/>
    </row>
    <row r="64" spans="1:1" x14ac:dyDescent="0.2">
      <c r="A64" s="7"/>
    </row>
    <row r="65" spans="1:1" x14ac:dyDescent="0.2">
      <c r="A65" s="7"/>
    </row>
    <row r="66" spans="1:1" x14ac:dyDescent="0.2">
      <c r="A66" s="7"/>
    </row>
    <row r="67" spans="1:1" x14ac:dyDescent="0.2">
      <c r="A67" s="7"/>
    </row>
    <row r="68" spans="1:1" x14ac:dyDescent="0.2">
      <c r="A68" s="7"/>
    </row>
    <row r="69" spans="1:1" x14ac:dyDescent="0.2">
      <c r="A69" s="7"/>
    </row>
    <row r="70" spans="1:1" x14ac:dyDescent="0.2">
      <c r="A70" s="7"/>
    </row>
    <row r="71" spans="1:1" x14ac:dyDescent="0.2">
      <c r="A71" s="7"/>
    </row>
    <row r="72" spans="1:1" x14ac:dyDescent="0.2">
      <c r="A72" s="7"/>
    </row>
    <row r="73" spans="1:1" x14ac:dyDescent="0.2">
      <c r="A73" s="7"/>
    </row>
    <row r="74" spans="1:1" x14ac:dyDescent="0.2">
      <c r="A74" s="7"/>
    </row>
    <row r="75" spans="1:1" x14ac:dyDescent="0.2">
      <c r="A75" s="7"/>
    </row>
    <row r="76" spans="1:1" x14ac:dyDescent="0.2">
      <c r="A76" s="7"/>
    </row>
    <row r="77" spans="1:1" x14ac:dyDescent="0.2">
      <c r="A77" s="7"/>
    </row>
    <row r="78" spans="1:1" x14ac:dyDescent="0.2">
      <c r="A78" s="7"/>
    </row>
    <row r="79" spans="1:1" x14ac:dyDescent="0.2">
      <c r="A79" s="7"/>
    </row>
    <row r="80" spans="1:1" x14ac:dyDescent="0.2">
      <c r="A80" s="7"/>
    </row>
    <row r="81" spans="1:1" x14ac:dyDescent="0.2">
      <c r="A81" s="7"/>
    </row>
    <row r="82" spans="1:1" x14ac:dyDescent="0.2">
      <c r="A82" s="7"/>
    </row>
    <row r="83" spans="1:1" x14ac:dyDescent="0.2">
      <c r="A83" s="7"/>
    </row>
    <row r="84" spans="1:1" x14ac:dyDescent="0.2">
      <c r="A84" s="7"/>
    </row>
    <row r="85" spans="1:1" x14ac:dyDescent="0.2">
      <c r="A85" s="7"/>
    </row>
    <row r="86" spans="1:1" x14ac:dyDescent="0.2">
      <c r="A86" s="7"/>
    </row>
    <row r="87" spans="1:1" x14ac:dyDescent="0.2">
      <c r="A87" s="7"/>
    </row>
    <row r="88" spans="1:1" x14ac:dyDescent="0.2">
      <c r="A88" s="7"/>
    </row>
    <row r="89" spans="1:1" x14ac:dyDescent="0.2">
      <c r="A89" s="7"/>
    </row>
    <row r="90" spans="1:1" x14ac:dyDescent="0.2">
      <c r="A90" s="7"/>
    </row>
    <row r="91" spans="1:1" x14ac:dyDescent="0.2">
      <c r="A91" s="7"/>
    </row>
    <row r="92" spans="1:1" x14ac:dyDescent="0.2">
      <c r="A92" s="7"/>
    </row>
    <row r="93" spans="1:1" x14ac:dyDescent="0.2">
      <c r="A93" s="7"/>
    </row>
    <row r="94" spans="1:1" x14ac:dyDescent="0.2">
      <c r="A94" s="7"/>
    </row>
    <row r="95" spans="1:1" x14ac:dyDescent="0.2">
      <c r="A95" s="7"/>
    </row>
    <row r="96" spans="1:1" x14ac:dyDescent="0.2">
      <c r="A96" s="7"/>
    </row>
    <row r="97" spans="1:1" x14ac:dyDescent="0.2">
      <c r="A97" s="7"/>
    </row>
    <row r="98" spans="1:1" x14ac:dyDescent="0.2">
      <c r="A98" s="7"/>
    </row>
    <row r="99" spans="1:1" x14ac:dyDescent="0.2">
      <c r="A99" s="7"/>
    </row>
    <row r="100" spans="1:1" x14ac:dyDescent="0.2">
      <c r="A100" s="7"/>
    </row>
    <row r="101" spans="1:1" x14ac:dyDescent="0.2">
      <c r="A101" s="7"/>
    </row>
    <row r="102" spans="1:1" x14ac:dyDescent="0.2">
      <c r="A102" s="7"/>
    </row>
    <row r="103" spans="1:1" x14ac:dyDescent="0.2">
      <c r="A103" s="7"/>
    </row>
    <row r="104" spans="1:1" x14ac:dyDescent="0.2">
      <c r="A104" s="7"/>
    </row>
    <row r="105" spans="1:1" x14ac:dyDescent="0.2">
      <c r="A105" s="7"/>
    </row>
    <row r="106" spans="1:1" x14ac:dyDescent="0.2">
      <c r="A106" s="7"/>
    </row>
    <row r="107" spans="1:1" x14ac:dyDescent="0.2">
      <c r="A10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359F9-FB6C-AB41-8134-B50AE060DBCF}">
  <dimension ref="A1:AB125"/>
  <sheetViews>
    <sheetView topLeftCell="L1" workbookViewId="0">
      <selection activeCell="U1" sqref="U1"/>
    </sheetView>
  </sheetViews>
  <sheetFormatPr baseColWidth="10" defaultRowHeight="16" x14ac:dyDescent="0.2"/>
  <cols>
    <col min="1" max="1" width="11.83203125" bestFit="1" customWidth="1"/>
    <col min="2" max="2" width="11.83203125" customWidth="1"/>
    <col min="3" max="3" width="11.6640625" bestFit="1" customWidth="1"/>
    <col min="5" max="5" width="10.33203125" style="15" bestFit="1" customWidth="1"/>
    <col min="6" max="6" width="11.33203125" style="15" bestFit="1" customWidth="1"/>
    <col min="10" max="10" width="10.83203125" style="6"/>
    <col min="11" max="11" width="10.83203125" style="3"/>
    <col min="12" max="12" width="11.5" style="3" bestFit="1" customWidth="1"/>
    <col min="13" max="13" width="10.33203125" bestFit="1" customWidth="1"/>
    <col min="14" max="14" width="9.1640625" bestFit="1" customWidth="1"/>
    <col min="15" max="16" width="12.33203125" bestFit="1" customWidth="1"/>
    <col min="18" max="18" width="13.5" bestFit="1" customWidth="1"/>
    <col min="19" max="19" width="13.83203125" style="13" customWidth="1"/>
    <col min="20" max="20" width="25.33203125" style="6" bestFit="1" customWidth="1"/>
    <col min="21" max="21" width="31.33203125" style="6" bestFit="1" customWidth="1"/>
    <col min="22" max="22" width="16.33203125" style="6" bestFit="1" customWidth="1"/>
    <col min="25" max="25" width="11.83203125" bestFit="1" customWidth="1"/>
    <col min="26" max="26" width="13" bestFit="1" customWidth="1"/>
    <col min="27" max="27" width="13.83203125" bestFit="1" customWidth="1"/>
    <col min="28" max="28" width="12.83203125" customWidth="1"/>
  </cols>
  <sheetData>
    <row r="1" spans="1:28" x14ac:dyDescent="0.2">
      <c r="A1" s="1" t="s">
        <v>0</v>
      </c>
      <c r="B1" s="1" t="s">
        <v>3</v>
      </c>
      <c r="C1" s="1" t="s">
        <v>2</v>
      </c>
      <c r="D1" s="5" t="s">
        <v>55</v>
      </c>
      <c r="E1" s="14" t="s">
        <v>43</v>
      </c>
      <c r="F1" s="14" t="s">
        <v>60</v>
      </c>
      <c r="G1" s="1" t="s">
        <v>1</v>
      </c>
      <c r="H1" s="1" t="s">
        <v>4</v>
      </c>
      <c r="I1" s="1" t="s">
        <v>45</v>
      </c>
      <c r="J1" s="5" t="s">
        <v>5</v>
      </c>
      <c r="K1" s="4" t="s">
        <v>6</v>
      </c>
      <c r="L1" s="7" t="s">
        <v>9</v>
      </c>
      <c r="M1" s="1" t="s">
        <v>8</v>
      </c>
      <c r="N1" s="1" t="s">
        <v>7</v>
      </c>
      <c r="O1" s="1" t="s">
        <v>41</v>
      </c>
      <c r="P1" s="1" t="s">
        <v>44</v>
      </c>
      <c r="Q1" s="1" t="s">
        <v>46</v>
      </c>
      <c r="R1" s="1" t="s">
        <v>79</v>
      </c>
      <c r="S1" s="12" t="s">
        <v>48</v>
      </c>
      <c r="T1" s="5" t="s">
        <v>98</v>
      </c>
      <c r="U1" s="5" t="s">
        <v>52</v>
      </c>
      <c r="V1" s="5" t="s">
        <v>53</v>
      </c>
      <c r="W1" s="5" t="s">
        <v>56</v>
      </c>
      <c r="X1" s="5" t="s">
        <v>58</v>
      </c>
      <c r="Y1" s="5" t="s">
        <v>57</v>
      </c>
      <c r="Z1" s="5" t="s">
        <v>61</v>
      </c>
      <c r="AA1" s="5" t="s">
        <v>62</v>
      </c>
      <c r="AB1" s="5" t="s">
        <v>59</v>
      </c>
    </row>
    <row r="2" spans="1:28" x14ac:dyDescent="0.2">
      <c r="A2" s="2">
        <v>34335</v>
      </c>
      <c r="B2">
        <v>127530352</v>
      </c>
      <c r="C2" s="3">
        <v>115.45816558833199</v>
      </c>
      <c r="D2" s="18">
        <v>47101.5</v>
      </c>
      <c r="E2" s="15">
        <v>2.3312499999999998</v>
      </c>
      <c r="F2" s="15">
        <f>LOG(D2,10)</f>
        <v>4.6730347379431167</v>
      </c>
      <c r="G2">
        <f>B2/C2</f>
        <v>1104558.9660129505</v>
      </c>
      <c r="H2">
        <v>6.0431889052961676</v>
      </c>
      <c r="I2">
        <v>6.0457640501423597</v>
      </c>
      <c r="J2" s="6">
        <v>-2.5751448461930337E-3</v>
      </c>
      <c r="K2" s="3">
        <v>2.9666670000000002</v>
      </c>
      <c r="L2" s="7"/>
      <c r="N2">
        <v>98.006839999999997</v>
      </c>
      <c r="Q2">
        <f t="array" ref="Q2:Q111">[1]!hp(P3:P111,1600)</f>
        <v>1.8187199995768473</v>
      </c>
      <c r="R2">
        <v>86863240</v>
      </c>
      <c r="S2" s="13">
        <v>15154040</v>
      </c>
      <c r="T2" s="6">
        <f>69.34656/100</f>
        <v>0.69346560000000002</v>
      </c>
      <c r="U2" s="6">
        <f>S2/R2</f>
        <v>0.17445860872792679</v>
      </c>
      <c r="V2" s="6">
        <f>82.2833969215902/100</f>
        <v>0.82283396921590191</v>
      </c>
      <c r="W2">
        <v>47101.5</v>
      </c>
      <c r="Y2">
        <v>1104558.9660129501</v>
      </c>
      <c r="Z2" s="15">
        <v>2.3312499999999998</v>
      </c>
    </row>
    <row r="3" spans="1:28" x14ac:dyDescent="0.2">
      <c r="A3" s="2">
        <v>34425</v>
      </c>
      <c r="B3">
        <v>127255152</v>
      </c>
      <c r="C3" s="3">
        <v>115.833827299939</v>
      </c>
      <c r="D3" s="18">
        <v>48011.9</v>
      </c>
      <c r="E3" s="16">
        <v>2.1749999999999998</v>
      </c>
      <c r="F3" s="15">
        <f t="shared" ref="F3:F66" si="0">LOG(D3,10)</f>
        <v>4.6813488928716476</v>
      </c>
      <c r="G3">
        <f t="shared" ref="G3:G66" si="1">B3/C3</f>
        <v>1098600.9438373018</v>
      </c>
      <c r="H3">
        <v>6.0408399677994451</v>
      </c>
      <c r="I3">
        <v>6.0475239923309587</v>
      </c>
      <c r="J3" s="6">
        <v>-6.6840245315136215E-3</v>
      </c>
      <c r="K3" s="3">
        <v>2.9333330000000002</v>
      </c>
      <c r="L3" s="3">
        <f>((G3-G2)/G2*100)</f>
        <v>-0.53940281677808222</v>
      </c>
      <c r="M3" s="3">
        <f>K3-K2</f>
        <v>-3.3333999999999975E-2</v>
      </c>
      <c r="N3">
        <v>97.823880000000003</v>
      </c>
      <c r="O3">
        <f>(N3-N2)/N2*100</f>
        <v>-0.18668084798978749</v>
      </c>
      <c r="P3">
        <f t="shared" ref="P3:P34" si="2">E3-O3</f>
        <v>2.3616808479897875</v>
      </c>
      <c r="Q3">
        <v>1.6859878004772451</v>
      </c>
      <c r="R3">
        <v>86900660</v>
      </c>
      <c r="S3" s="13">
        <v>15143560</v>
      </c>
      <c r="T3" s="6">
        <f>69.51233/100</f>
        <v>0.69512330000000011</v>
      </c>
      <c r="U3" s="6">
        <f t="shared" ref="U3:U66" si="3">S3/R3</f>
        <v>0.17426288822202271</v>
      </c>
      <c r="V3" s="6">
        <f>81.6467665142536/100</f>
        <v>0.81646766514253599</v>
      </c>
      <c r="W3">
        <v>48011.9</v>
      </c>
      <c r="Y3">
        <v>1098600.9438373018</v>
      </c>
      <c r="Z3" s="16">
        <v>2.1749999999999998</v>
      </c>
    </row>
    <row r="4" spans="1:28" x14ac:dyDescent="0.2">
      <c r="A4" s="2">
        <v>34516</v>
      </c>
      <c r="B4">
        <v>128241448</v>
      </c>
      <c r="C4" s="3">
        <v>115.411656674993</v>
      </c>
      <c r="D4" s="18">
        <v>46297.2</v>
      </c>
      <c r="E4" s="16">
        <v>2.0818500000000002</v>
      </c>
      <c r="F4" s="15">
        <f t="shared" si="0"/>
        <v>4.6655547261946166</v>
      </c>
      <c r="G4">
        <f t="shared" si="1"/>
        <v>1111165.4723156479</v>
      </c>
      <c r="H4">
        <v>6.0457787379349588</v>
      </c>
      <c r="I4">
        <v>6.049282325054028</v>
      </c>
      <c r="J4" s="6">
        <v>-3.5035871190691736E-3</v>
      </c>
      <c r="K4" s="3">
        <v>3.0666669999999998</v>
      </c>
      <c r="L4" s="3">
        <f t="shared" ref="L4:L67" si="4">((G4-G3)/G3*100)</f>
        <v>1.1436844787752904</v>
      </c>
      <c r="M4" s="3">
        <f t="shared" ref="M4:M67" si="5">K4-K3</f>
        <v>0.13333399999999962</v>
      </c>
      <c r="N4">
        <v>97.85436</v>
      </c>
      <c r="O4">
        <f t="shared" ref="O4:O67" si="6">(N4-N3)/N3*100</f>
        <v>3.1158036258628438E-2</v>
      </c>
      <c r="P4">
        <f t="shared" si="2"/>
        <v>2.0506919637413716</v>
      </c>
      <c r="Q4">
        <v>1.5535949519079009</v>
      </c>
      <c r="R4">
        <v>86904390</v>
      </c>
      <c r="S4" s="13">
        <v>15136670</v>
      </c>
      <c r="T4" s="6">
        <f>69.26769/100</f>
        <v>0.69267690000000004</v>
      </c>
      <c r="U4" s="6">
        <f t="shared" si="3"/>
        <v>0.17417612620029896</v>
      </c>
      <c r="V4" s="6">
        <f>82.8784232584902/100</f>
        <v>0.82878423258490197</v>
      </c>
      <c r="W4">
        <v>46297.2</v>
      </c>
      <c r="Y4">
        <v>1111165.4723156479</v>
      </c>
      <c r="Z4" s="16">
        <v>2.0818500000000002</v>
      </c>
    </row>
    <row r="5" spans="1:28" x14ac:dyDescent="0.2">
      <c r="A5" s="2">
        <v>34608</v>
      </c>
      <c r="B5">
        <v>127901824</v>
      </c>
      <c r="C5" s="3">
        <v>115.55103929189001</v>
      </c>
      <c r="D5" s="18">
        <v>45574.1</v>
      </c>
      <c r="E5" s="16">
        <v>2.2374999999999998</v>
      </c>
      <c r="F5" s="15">
        <f t="shared" si="0"/>
        <v>4.6587181009387937</v>
      </c>
      <c r="G5">
        <f t="shared" si="1"/>
        <v>1106885.9681729998</v>
      </c>
      <c r="H5">
        <v>6.0441028819951637</v>
      </c>
      <c r="I5">
        <v>6.0510332613307067</v>
      </c>
      <c r="J5" s="6">
        <v>-6.9303793355430798E-3</v>
      </c>
      <c r="K5" s="3">
        <v>3.0333329999999998</v>
      </c>
      <c r="L5" s="3">
        <f t="shared" si="4"/>
        <v>-0.38513653000121295</v>
      </c>
      <c r="M5" s="3">
        <f t="shared" si="5"/>
        <v>-3.3333999999999975E-2</v>
      </c>
      <c r="N5">
        <v>98.311779999999999</v>
      </c>
      <c r="O5">
        <f t="shared" si="6"/>
        <v>0.46744978966701034</v>
      </c>
      <c r="P5">
        <f t="shared" si="2"/>
        <v>1.7700502103329896</v>
      </c>
      <c r="Q5">
        <v>1.4221087445011127</v>
      </c>
      <c r="R5">
        <v>86902600</v>
      </c>
      <c r="S5" s="13">
        <v>15186470</v>
      </c>
      <c r="T5" s="6">
        <f>69.24994/100</f>
        <v>0.69249939999999999</v>
      </c>
      <c r="U5" s="6">
        <f t="shared" si="3"/>
        <v>0.17475276919217606</v>
      </c>
      <c r="V5" s="6">
        <f>82.4841060530133/100</f>
        <v>0.82484106053013306</v>
      </c>
      <c r="W5">
        <v>45574.1</v>
      </c>
      <c r="Y5">
        <v>1106885.9681729998</v>
      </c>
      <c r="Z5" s="16">
        <v>2.2374999999999998</v>
      </c>
    </row>
    <row r="6" spans="1:28" x14ac:dyDescent="0.2">
      <c r="A6" s="2">
        <v>34700</v>
      </c>
      <c r="B6">
        <v>128726776</v>
      </c>
      <c r="C6" s="3">
        <v>115.046800794223</v>
      </c>
      <c r="D6" s="18">
        <v>43635.5</v>
      </c>
      <c r="E6" s="16">
        <v>2.25</v>
      </c>
      <c r="F6" s="15">
        <f t="shared" si="0"/>
        <v>4.6398399567206816</v>
      </c>
      <c r="G6">
        <f t="shared" si="1"/>
        <v>1118907.9149644978</v>
      </c>
      <c r="H6">
        <v>6.0487943459846578</v>
      </c>
      <c r="I6">
        <v>6.052768824438183</v>
      </c>
      <c r="J6" s="6">
        <v>-3.9744784535251654E-3</v>
      </c>
      <c r="K6" s="3">
        <v>3.1333329999999999</v>
      </c>
      <c r="L6" s="3">
        <f t="shared" si="4"/>
        <v>1.0861052662309141</v>
      </c>
      <c r="M6" s="3">
        <f t="shared" si="5"/>
        <v>0.10000000000000009</v>
      </c>
      <c r="N6">
        <v>98.113950000000003</v>
      </c>
      <c r="O6">
        <f t="shared" si="6"/>
        <v>-0.20122715711178882</v>
      </c>
      <c r="P6">
        <f t="shared" si="2"/>
        <v>2.4512271571117887</v>
      </c>
      <c r="Q6">
        <v>1.2922317534256942</v>
      </c>
      <c r="R6">
        <v>86932420</v>
      </c>
      <c r="S6" s="13">
        <v>15247450</v>
      </c>
      <c r="T6" s="6">
        <f>69.26453/100</f>
        <v>0.69264529999999991</v>
      </c>
      <c r="U6" s="6">
        <f t="shared" si="3"/>
        <v>0.17539428903509185</v>
      </c>
      <c r="V6" s="6">
        <f>83.2885243723224/100</f>
        <v>0.83288524372322403</v>
      </c>
      <c r="W6">
        <v>43635.5</v>
      </c>
      <c r="Y6">
        <v>1118907.9149644978</v>
      </c>
      <c r="Z6" s="16">
        <v>2.25</v>
      </c>
    </row>
    <row r="7" spans="1:28" x14ac:dyDescent="0.2">
      <c r="A7" s="2">
        <v>34790</v>
      </c>
      <c r="B7">
        <v>129692024</v>
      </c>
      <c r="C7" s="3">
        <v>114.810240763007</v>
      </c>
      <c r="D7" s="18">
        <v>45415.7</v>
      </c>
      <c r="E7" s="16">
        <v>1.5249999999999999</v>
      </c>
      <c r="F7" s="15">
        <f t="shared" si="0"/>
        <v>4.6572060124315779</v>
      </c>
      <c r="G7">
        <f t="shared" si="1"/>
        <v>1129620.6953150826</v>
      </c>
      <c r="H7">
        <v>6.0529326403107824</v>
      </c>
      <c r="I7">
        <v>6.054476706166561</v>
      </c>
      <c r="J7" s="6">
        <v>-1.544065855778598E-3</v>
      </c>
      <c r="K7" s="3">
        <v>3.1666669999999999</v>
      </c>
      <c r="L7" s="3">
        <f t="shared" si="4"/>
        <v>0.95743181429945279</v>
      </c>
      <c r="M7" s="3">
        <f t="shared" si="5"/>
        <v>3.3333999999999975E-2</v>
      </c>
      <c r="N7">
        <v>97.82038</v>
      </c>
      <c r="O7">
        <f t="shared" si="6"/>
        <v>-0.2992133126838768</v>
      </c>
      <c r="P7">
        <f t="shared" si="2"/>
        <v>1.8242133126838767</v>
      </c>
      <c r="Q7">
        <v>1.1653097528583405</v>
      </c>
      <c r="R7">
        <v>86942770</v>
      </c>
      <c r="S7" s="13">
        <v>15302380</v>
      </c>
      <c r="T7" s="6">
        <f>69.22562/100</f>
        <v>0.6922562000000001</v>
      </c>
      <c r="U7" s="6">
        <f t="shared" si="3"/>
        <v>0.17600520434304082</v>
      </c>
      <c r="V7" s="6">
        <f>84.1246566137786/100</f>
        <v>0.84124656613778592</v>
      </c>
      <c r="W7">
        <v>45415.7</v>
      </c>
      <c r="Y7">
        <v>1129620.6953150826</v>
      </c>
      <c r="Z7" s="16">
        <v>1.5249999999999999</v>
      </c>
    </row>
    <row r="8" spans="1:28" x14ac:dyDescent="0.2">
      <c r="A8" s="2">
        <v>34881</v>
      </c>
      <c r="B8">
        <v>131343504</v>
      </c>
      <c r="C8" s="3">
        <v>114.93048763458</v>
      </c>
      <c r="D8" s="18">
        <v>48920</v>
      </c>
      <c r="E8" s="16">
        <v>0.95</v>
      </c>
      <c r="F8" s="15">
        <f t="shared" si="0"/>
        <v>4.6894864483642476</v>
      </c>
      <c r="G8">
        <f t="shared" si="1"/>
        <v>1142808.2026207438</v>
      </c>
      <c r="H8">
        <v>6.0579733489141896</v>
      </c>
      <c r="I8">
        <v>6.0561421142569101</v>
      </c>
      <c r="J8" s="6">
        <v>1.8312346572795235E-3</v>
      </c>
      <c r="K8" s="3">
        <v>3.3333330000000001</v>
      </c>
      <c r="L8" s="3">
        <f t="shared" si="4"/>
        <v>1.1674279127811884</v>
      </c>
      <c r="M8" s="3">
        <f t="shared" si="5"/>
        <v>0.1666660000000002</v>
      </c>
      <c r="N8">
        <v>97.82038</v>
      </c>
      <c r="O8">
        <f t="shared" si="6"/>
        <v>0</v>
      </c>
      <c r="P8">
        <f t="shared" si="2"/>
        <v>0.95</v>
      </c>
      <c r="Q8">
        <v>1.0430210054502831</v>
      </c>
      <c r="R8">
        <v>86892590</v>
      </c>
      <c r="S8" s="13">
        <v>15340000</v>
      </c>
      <c r="T8" s="6">
        <f>69.30012/100</f>
        <v>0.69300120000000009</v>
      </c>
      <c r="U8" s="6">
        <f t="shared" si="3"/>
        <v>0.17653979470516415</v>
      </c>
      <c r="V8" s="6">
        <f>84.9269545957825/100</f>
        <v>0.849269545957825</v>
      </c>
      <c r="W8">
        <v>48920</v>
      </c>
      <c r="Y8">
        <v>1142808.2026207438</v>
      </c>
      <c r="Z8" s="16">
        <v>0.95</v>
      </c>
    </row>
    <row r="9" spans="1:28" x14ac:dyDescent="0.2">
      <c r="A9" s="2">
        <v>34973</v>
      </c>
      <c r="B9">
        <v>131764376</v>
      </c>
      <c r="C9" s="3">
        <v>115.007114653543</v>
      </c>
      <c r="D9" s="18">
        <v>49120</v>
      </c>
      <c r="E9" s="16">
        <v>0.47</v>
      </c>
      <c r="F9" s="15">
        <f t="shared" si="0"/>
        <v>4.6912583581331102</v>
      </c>
      <c r="G9">
        <f t="shared" si="1"/>
        <v>1145706.3017095765</v>
      </c>
      <c r="H9">
        <v>6.0590733018423641</v>
      </c>
      <c r="I9">
        <v>6.0577492914091398</v>
      </c>
      <c r="J9" s="6">
        <v>1.3240104332243874E-3</v>
      </c>
      <c r="K9" s="3">
        <v>3.4333330000000002</v>
      </c>
      <c r="L9" s="3">
        <f t="shared" si="4"/>
        <v>0.25359452987707587</v>
      </c>
      <c r="M9" s="3">
        <f t="shared" si="5"/>
        <v>0.10000000000000009</v>
      </c>
      <c r="N9">
        <v>97.787769999999995</v>
      </c>
      <c r="O9">
        <f t="shared" si="6"/>
        <v>-3.3336611450502804E-2</v>
      </c>
      <c r="P9">
        <f t="shared" si="2"/>
        <v>0.50333661145050279</v>
      </c>
      <c r="Q9">
        <v>0.92690920525721687</v>
      </c>
      <c r="R9">
        <v>86895110</v>
      </c>
      <c r="S9" s="13">
        <v>15379370</v>
      </c>
      <c r="T9" s="6">
        <f>69.21755/100</f>
        <v>0.69217550000000005</v>
      </c>
      <c r="U9" s="6">
        <f t="shared" si="3"/>
        <v>0.17698774994358141</v>
      </c>
      <c r="V9" s="6">
        <f>85.3859364019012/100</f>
        <v>0.85385936401901208</v>
      </c>
      <c r="W9">
        <v>49120</v>
      </c>
      <c r="Y9">
        <v>1145706.3017095765</v>
      </c>
      <c r="Z9" s="16">
        <v>0.47</v>
      </c>
    </row>
    <row r="10" spans="1:28" x14ac:dyDescent="0.2">
      <c r="A10" s="2">
        <v>35065</v>
      </c>
      <c r="B10">
        <v>132246048</v>
      </c>
      <c r="C10" s="3">
        <v>114.493571092892</v>
      </c>
      <c r="D10" s="18">
        <v>51638.5</v>
      </c>
      <c r="E10" s="16">
        <v>0.47</v>
      </c>
      <c r="F10" s="15">
        <f t="shared" si="0"/>
        <v>4.7129736183506887</v>
      </c>
      <c r="G10">
        <f t="shared" si="1"/>
        <v>1155052.1722543258</v>
      </c>
      <c r="H10">
        <v>6.0626016012068948</v>
      </c>
      <c r="I10">
        <v>6.059283624844821</v>
      </c>
      <c r="J10" s="6">
        <v>3.3179763620738711E-3</v>
      </c>
      <c r="K10" s="3">
        <v>3.5</v>
      </c>
      <c r="L10" s="3">
        <f t="shared" si="4"/>
        <v>0.8157300462434206</v>
      </c>
      <c r="M10" s="3">
        <f t="shared" si="5"/>
        <v>6.666699999999981E-2</v>
      </c>
      <c r="N10">
        <v>97.819980000000001</v>
      </c>
      <c r="O10">
        <f t="shared" si="6"/>
        <v>3.2938679346104623E-2</v>
      </c>
      <c r="P10">
        <f t="shared" si="2"/>
        <v>0.43706132065389536</v>
      </c>
      <c r="Q10">
        <v>0.81818074358858706</v>
      </c>
      <c r="R10">
        <v>86819850</v>
      </c>
      <c r="S10" s="13">
        <v>15427310</v>
      </c>
      <c r="T10" s="6">
        <f>69.31595/100</f>
        <v>0.69315950000000004</v>
      </c>
      <c r="U10" s="6">
        <f t="shared" si="3"/>
        <v>0.17769335008065551</v>
      </c>
      <c r="V10" s="6">
        <f>86.0451926876663/100</f>
        <v>0.86045192687666305</v>
      </c>
      <c r="W10">
        <v>51638.5</v>
      </c>
      <c r="Y10">
        <v>1155052.1722543258</v>
      </c>
      <c r="Z10" s="16">
        <v>0.47</v>
      </c>
    </row>
    <row r="11" spans="1:28" x14ac:dyDescent="0.2">
      <c r="A11" s="2">
        <v>35156</v>
      </c>
      <c r="B11">
        <v>134008976</v>
      </c>
      <c r="C11" s="3">
        <v>114.562628088186</v>
      </c>
      <c r="D11" s="18">
        <v>50911.4</v>
      </c>
      <c r="E11" s="16">
        <v>0.49</v>
      </c>
      <c r="F11" s="15">
        <f t="shared" si="0"/>
        <v>4.7068150397581157</v>
      </c>
      <c r="G11">
        <f t="shared" si="1"/>
        <v>1169744.2546171769</v>
      </c>
      <c r="H11">
        <v>6.0680909207638249</v>
      </c>
      <c r="I11">
        <v>6.0607313292920448</v>
      </c>
      <c r="J11" s="6">
        <v>7.3595914717801136E-3</v>
      </c>
      <c r="K11" s="3">
        <v>3.5333329999999998</v>
      </c>
      <c r="L11" s="3">
        <f t="shared" si="4"/>
        <v>1.2719843064903691</v>
      </c>
      <c r="M11" s="3">
        <f t="shared" si="5"/>
        <v>3.3332999999999835E-2</v>
      </c>
      <c r="N11">
        <v>97.786969999999997</v>
      </c>
      <c r="O11">
        <f t="shared" si="6"/>
        <v>-3.3745662184764727E-2</v>
      </c>
      <c r="P11">
        <f t="shared" si="2"/>
        <v>0.5237456621847647</v>
      </c>
      <c r="Q11">
        <v>0.71773585682596164</v>
      </c>
      <c r="R11">
        <v>86810770</v>
      </c>
      <c r="S11" s="13">
        <v>15507190</v>
      </c>
      <c r="T11" s="6">
        <f>69.48831/100</f>
        <v>0.69488309999999998</v>
      </c>
      <c r="U11" s="6">
        <f t="shared" si="3"/>
        <v>0.17863209829840238</v>
      </c>
      <c r="V11" s="6">
        <f>86.8251948372366/100</f>
        <v>0.86825194837236597</v>
      </c>
      <c r="W11">
        <v>50911.4</v>
      </c>
      <c r="Y11">
        <v>1169744.2546171769</v>
      </c>
      <c r="Z11" s="16">
        <v>0.49</v>
      </c>
    </row>
    <row r="12" spans="1:28" x14ac:dyDescent="0.2">
      <c r="A12" s="2">
        <v>35247</v>
      </c>
      <c r="B12">
        <v>134034152</v>
      </c>
      <c r="C12" s="3">
        <v>114.441778712209</v>
      </c>
      <c r="D12" s="18">
        <v>48646</v>
      </c>
      <c r="E12" s="16">
        <v>0.48</v>
      </c>
      <c r="F12" s="15">
        <f t="shared" si="0"/>
        <v>4.6870471354708272</v>
      </c>
      <c r="G12">
        <f t="shared" si="1"/>
        <v>1171199.4824640106</v>
      </c>
      <c r="H12">
        <v>6.0686308718059543</v>
      </c>
      <c r="I12">
        <v>6.0620806932141296</v>
      </c>
      <c r="J12" s="6">
        <v>6.550178591824718E-3</v>
      </c>
      <c r="K12" s="3">
        <v>3.4333330000000002</v>
      </c>
      <c r="L12" s="3">
        <f t="shared" si="4"/>
        <v>0.12440564175370948</v>
      </c>
      <c r="M12" s="3">
        <f t="shared" si="5"/>
        <v>-9.9999999999999645E-2</v>
      </c>
      <c r="N12">
        <v>97.985050000000001</v>
      </c>
      <c r="O12">
        <f t="shared" si="6"/>
        <v>0.20256277497912503</v>
      </c>
      <c r="P12">
        <f t="shared" si="2"/>
        <v>0.27743722502087498</v>
      </c>
      <c r="Q12">
        <v>0.62629075942503132</v>
      </c>
      <c r="R12">
        <v>86797330</v>
      </c>
      <c r="S12" s="13">
        <v>15602250</v>
      </c>
      <c r="T12" s="6">
        <f>69.76405/100</f>
        <v>0.6976405</v>
      </c>
      <c r="U12" s="6">
        <f t="shared" si="3"/>
        <v>0.179754953291766</v>
      </c>
      <c r="V12" s="6">
        <f>86.4407704451645/100</f>
        <v>0.86440770445164505</v>
      </c>
      <c r="W12">
        <v>48646</v>
      </c>
      <c r="Y12">
        <v>1171199.4824640106</v>
      </c>
      <c r="Z12" s="16">
        <v>0.48</v>
      </c>
    </row>
    <row r="13" spans="1:28" x14ac:dyDescent="0.2">
      <c r="A13" s="2">
        <v>35339</v>
      </c>
      <c r="B13">
        <v>135291120</v>
      </c>
      <c r="C13" s="3">
        <v>114.235757616253</v>
      </c>
      <c r="D13" s="18">
        <v>47467.199999999997</v>
      </c>
      <c r="E13" s="16">
        <v>0.48</v>
      </c>
      <c r="F13" s="15">
        <f t="shared" si="0"/>
        <v>4.6763936142670408</v>
      </c>
      <c r="G13">
        <f t="shared" si="1"/>
        <v>1184314.9887837863</v>
      </c>
      <c r="H13">
        <v>6.0734672257797895</v>
      </c>
      <c r="I13">
        <v>6.0633246048190603</v>
      </c>
      <c r="J13" s="6">
        <v>1.0142620960729154E-2</v>
      </c>
      <c r="K13" s="3">
        <v>3.4666670000000002</v>
      </c>
      <c r="L13" s="3">
        <f t="shared" si="4"/>
        <v>1.1198353923605611</v>
      </c>
      <c r="M13" s="3">
        <f t="shared" si="5"/>
        <v>3.3333999999999975E-2</v>
      </c>
      <c r="N13">
        <v>98.018069999999994</v>
      </c>
      <c r="O13">
        <f t="shared" si="6"/>
        <v>3.369901837065286E-2</v>
      </c>
      <c r="P13">
        <f t="shared" si="2"/>
        <v>0.44630098162934712</v>
      </c>
      <c r="Q13">
        <v>0.54428647919660844</v>
      </c>
      <c r="R13">
        <v>86734440</v>
      </c>
      <c r="S13" s="13">
        <v>15706120</v>
      </c>
      <c r="T13" s="6">
        <f>69.6955/100</f>
        <v>0.69695499999999999</v>
      </c>
      <c r="U13" s="6">
        <f t="shared" si="3"/>
        <v>0.18108285474605013</v>
      </c>
      <c r="V13" s="6">
        <f>87.498255802397/100</f>
        <v>0.87498255802396996</v>
      </c>
      <c r="W13">
        <v>47467.199999999997</v>
      </c>
      <c r="Y13">
        <v>1184314.9887837863</v>
      </c>
      <c r="Z13" s="16">
        <v>0.48</v>
      </c>
    </row>
    <row r="14" spans="1:28" x14ac:dyDescent="0.2">
      <c r="A14" s="2">
        <v>35431</v>
      </c>
      <c r="B14">
        <v>135531296</v>
      </c>
      <c r="C14" s="3">
        <v>114.17234734671401</v>
      </c>
      <c r="D14" s="18">
        <v>46621.9</v>
      </c>
      <c r="E14" s="15">
        <v>0.48</v>
      </c>
      <c r="F14" s="15">
        <f t="shared" si="0"/>
        <v>4.6685899685132011</v>
      </c>
      <c r="G14">
        <f t="shared" si="1"/>
        <v>1187076.3731293357</v>
      </c>
      <c r="H14">
        <v>6.074478661129513</v>
      </c>
      <c r="I14">
        <v>6.0644600461764426</v>
      </c>
      <c r="J14" s="6">
        <v>1.0018614953070326E-2</v>
      </c>
      <c r="K14" s="3">
        <v>3.4666670000000002</v>
      </c>
      <c r="L14" s="3">
        <f t="shared" si="4"/>
        <v>0.23316299900798787</v>
      </c>
      <c r="M14" s="3">
        <f t="shared" si="5"/>
        <v>0</v>
      </c>
      <c r="N14">
        <v>98.315190000000001</v>
      </c>
      <c r="O14">
        <f t="shared" si="6"/>
        <v>0.30312778041845423</v>
      </c>
      <c r="P14">
        <f t="shared" si="2"/>
        <v>0.17687221958154575</v>
      </c>
      <c r="Q14">
        <v>0.47205155034038282</v>
      </c>
      <c r="R14">
        <v>86940720</v>
      </c>
      <c r="S14" s="13">
        <v>15876800</v>
      </c>
      <c r="T14" s="6">
        <f>70.03622/100</f>
        <v>0.70036220000000005</v>
      </c>
      <c r="U14" s="6">
        <f t="shared" si="3"/>
        <v>0.18261638504949118</v>
      </c>
      <c r="V14" s="6">
        <f>87.1137388927454/100</f>
        <v>0.87113738892745407</v>
      </c>
      <c r="W14">
        <v>46621.9</v>
      </c>
      <c r="Y14">
        <v>1187076.3731293357</v>
      </c>
      <c r="Z14" s="15">
        <v>0.48</v>
      </c>
    </row>
    <row r="15" spans="1:28" x14ac:dyDescent="0.2">
      <c r="A15" s="2">
        <v>35521</v>
      </c>
      <c r="B15">
        <v>136018080</v>
      </c>
      <c r="C15" s="3">
        <v>115.417723793983</v>
      </c>
      <c r="D15" s="18">
        <v>46667.4</v>
      </c>
      <c r="E15" s="15">
        <v>0.5</v>
      </c>
      <c r="F15" s="15">
        <f t="shared" si="0"/>
        <v>4.6690136055325269</v>
      </c>
      <c r="G15">
        <f t="shared" si="1"/>
        <v>1178485.2059878428</v>
      </c>
      <c r="H15">
        <v>6.0713241350163267</v>
      </c>
      <c r="I15">
        <v>6.0654903384939809</v>
      </c>
      <c r="J15" s="6">
        <v>5.8337965223458355E-3</v>
      </c>
      <c r="K15" s="3">
        <v>3.5</v>
      </c>
      <c r="L15" s="3">
        <f t="shared" si="4"/>
        <v>-0.72372488712290373</v>
      </c>
      <c r="M15" s="3">
        <f t="shared" si="5"/>
        <v>3.3332999999999835E-2</v>
      </c>
      <c r="N15">
        <v>99.767799999999994</v>
      </c>
      <c r="O15">
        <f t="shared" si="6"/>
        <v>1.4775031203214812</v>
      </c>
      <c r="P15">
        <f t="shared" si="2"/>
        <v>-0.97750312032148123</v>
      </c>
      <c r="Q15">
        <v>0.40968487314378493</v>
      </c>
      <c r="R15">
        <v>86921170</v>
      </c>
      <c r="S15" s="13">
        <v>15930730</v>
      </c>
      <c r="T15" s="6">
        <f>70.12101/100</f>
        <v>0.70121009999999995</v>
      </c>
      <c r="U15" s="6">
        <f t="shared" si="3"/>
        <v>0.18327790571617938</v>
      </c>
      <c r="V15" s="6">
        <f>86.2392279892467/100</f>
        <v>0.86239227989246703</v>
      </c>
      <c r="W15">
        <v>46667.4</v>
      </c>
      <c r="Y15">
        <v>1178485.2059878428</v>
      </c>
      <c r="Z15" s="15">
        <v>0.5</v>
      </c>
    </row>
    <row r="16" spans="1:28" x14ac:dyDescent="0.2">
      <c r="A16" s="2">
        <v>35612</v>
      </c>
      <c r="B16">
        <v>136008800</v>
      </c>
      <c r="C16" s="3">
        <v>115.19151595435901</v>
      </c>
      <c r="D16" s="18">
        <v>47109.9</v>
      </c>
      <c r="E16" s="15">
        <v>0.49</v>
      </c>
      <c r="F16" s="15">
        <f t="shared" si="0"/>
        <v>4.6731121823640178</v>
      </c>
      <c r="G16">
        <f t="shared" si="1"/>
        <v>1180718.899939551</v>
      </c>
      <c r="H16">
        <v>6.072146515110461</v>
      </c>
      <c r="I16">
        <v>6.0664250646137257</v>
      </c>
      <c r="J16" s="6">
        <v>5.7214504967353363E-3</v>
      </c>
      <c r="K16" s="3">
        <v>3.5333329999999998</v>
      </c>
      <c r="L16" s="3">
        <f t="shared" si="4"/>
        <v>0.18953941384744949</v>
      </c>
      <c r="M16" s="3">
        <f t="shared" si="5"/>
        <v>3.3332999999999835E-2</v>
      </c>
      <c r="N16">
        <v>100.0979</v>
      </c>
      <c r="O16">
        <f t="shared" si="6"/>
        <v>0.33086827613719222</v>
      </c>
      <c r="P16">
        <f t="shared" si="2"/>
        <v>0.15913172386280777</v>
      </c>
      <c r="Q16">
        <v>0.35637937622508153</v>
      </c>
      <c r="R16">
        <v>86876150</v>
      </c>
      <c r="S16" s="13">
        <v>16010410</v>
      </c>
      <c r="T16" s="6">
        <f>70.11514/100</f>
        <v>0.70115139999999998</v>
      </c>
      <c r="U16" s="6">
        <f t="shared" si="3"/>
        <v>0.18429004968567322</v>
      </c>
      <c r="V16" s="6">
        <f>86.5146492541872/100</f>
        <v>0.86514649254187204</v>
      </c>
      <c r="W16">
        <v>47109.9</v>
      </c>
      <c r="Y16">
        <v>1180718.899939551</v>
      </c>
      <c r="Z16" s="15">
        <v>0.49</v>
      </c>
    </row>
    <row r="17" spans="1:26" x14ac:dyDescent="0.2">
      <c r="A17" s="2">
        <v>35704</v>
      </c>
      <c r="B17">
        <v>136246352</v>
      </c>
      <c r="C17" s="3">
        <v>115.346326732715</v>
      </c>
      <c r="D17" s="18">
        <v>44812</v>
      </c>
      <c r="E17" s="15">
        <v>0.48</v>
      </c>
      <c r="F17" s="15">
        <f t="shared" si="0"/>
        <v>4.6513943273002454</v>
      </c>
      <c r="G17">
        <f t="shared" si="1"/>
        <v>1181193.6787177918</v>
      </c>
      <c r="H17">
        <v>6.0723211141266615</v>
      </c>
      <c r="I17">
        <v>6.0672774535005534</v>
      </c>
      <c r="J17" s="6">
        <v>5.0436606261081707E-3</v>
      </c>
      <c r="K17" s="3">
        <v>3.6666669999999999</v>
      </c>
      <c r="L17" s="3">
        <f t="shared" si="4"/>
        <v>4.0210991647977368E-2</v>
      </c>
      <c r="M17" s="3">
        <f t="shared" si="5"/>
        <v>0.13333400000000006</v>
      </c>
      <c r="N17">
        <v>100.06489999999999</v>
      </c>
      <c r="O17">
        <f t="shared" si="6"/>
        <v>-3.2967724597620179E-2</v>
      </c>
      <c r="P17">
        <f t="shared" si="2"/>
        <v>0.51296772459762019</v>
      </c>
      <c r="Q17">
        <v>0.31117139248423881</v>
      </c>
      <c r="R17">
        <v>86833490</v>
      </c>
      <c r="S17" s="13">
        <v>16029950</v>
      </c>
      <c r="T17" s="6">
        <f>69.98836/100</f>
        <v>0.69988360000000005</v>
      </c>
      <c r="U17" s="6">
        <f t="shared" si="3"/>
        <v>0.18460561702633396</v>
      </c>
      <c r="V17" s="6">
        <f>86.689703270322/100</f>
        <v>0.86689703270321994</v>
      </c>
      <c r="W17">
        <v>44812</v>
      </c>
      <c r="Y17">
        <v>1181193.6787177918</v>
      </c>
      <c r="Z17" s="15">
        <v>0.48</v>
      </c>
    </row>
    <row r="18" spans="1:26" x14ac:dyDescent="0.2">
      <c r="A18" s="2">
        <v>35796</v>
      </c>
      <c r="B18">
        <v>134491120</v>
      </c>
      <c r="C18" s="3">
        <v>115.28513929948799</v>
      </c>
      <c r="D18" s="18">
        <v>42221.1</v>
      </c>
      <c r="E18" s="15">
        <v>0.44</v>
      </c>
      <c r="F18" s="15">
        <f t="shared" si="0"/>
        <v>4.6255295439339035</v>
      </c>
      <c r="G18">
        <f t="shared" si="1"/>
        <v>1166595.4590263248</v>
      </c>
      <c r="H18">
        <v>6.0669202816056993</v>
      </c>
      <c r="I18">
        <v>6.0680643100259024</v>
      </c>
      <c r="J18" s="6">
        <v>-1.1440284202031137E-3</v>
      </c>
      <c r="K18" s="3">
        <v>3.8333330000000001</v>
      </c>
      <c r="L18" s="3">
        <f t="shared" si="4"/>
        <v>-1.2358870483724269</v>
      </c>
      <c r="M18" s="3">
        <f t="shared" si="5"/>
        <v>0.1666660000000002</v>
      </c>
      <c r="N18">
        <v>100.29600000000001</v>
      </c>
      <c r="O18">
        <f t="shared" si="6"/>
        <v>0.23095011337643076</v>
      </c>
      <c r="P18">
        <f t="shared" si="2"/>
        <v>0.20904988662356924</v>
      </c>
      <c r="Q18">
        <v>0.27319512253895573</v>
      </c>
      <c r="R18">
        <v>86819820</v>
      </c>
      <c r="S18" s="13">
        <v>16067420</v>
      </c>
      <c r="T18" s="6">
        <f>69.92259/100</f>
        <v>0.69922589999999996</v>
      </c>
      <c r="U18" s="6">
        <f t="shared" si="3"/>
        <v>0.18506626712656166</v>
      </c>
      <c r="V18" s="6">
        <f>85.6501749851455/100</f>
        <v>0.856501749851455</v>
      </c>
      <c r="W18">
        <v>42221.1</v>
      </c>
      <c r="Y18">
        <v>1166595.4590263248</v>
      </c>
      <c r="Z18" s="15">
        <v>0.44</v>
      </c>
    </row>
    <row r="19" spans="1:26" x14ac:dyDescent="0.2">
      <c r="A19" s="2">
        <v>35886</v>
      </c>
      <c r="B19">
        <v>133702704</v>
      </c>
      <c r="C19" s="3">
        <v>115.090192083369</v>
      </c>
      <c r="D19" s="18">
        <v>41857</v>
      </c>
      <c r="E19" s="15">
        <v>0.44</v>
      </c>
      <c r="F19" s="15">
        <f t="shared" si="0"/>
        <v>4.6217680981035967</v>
      </c>
      <c r="G19">
        <f t="shared" si="1"/>
        <v>1161721.0952532643</v>
      </c>
      <c r="H19">
        <v>6.0651018756177235</v>
      </c>
      <c r="I19">
        <v>6.0688055913491015</v>
      </c>
      <c r="J19" s="6">
        <v>-3.7037157313779545E-3</v>
      </c>
      <c r="K19" s="3">
        <v>4.233333</v>
      </c>
      <c r="L19" s="3">
        <f t="shared" si="4"/>
        <v>-0.41782811130850672</v>
      </c>
      <c r="M19" s="3">
        <f t="shared" si="5"/>
        <v>0.39999999999999991</v>
      </c>
      <c r="N19">
        <v>100.164</v>
      </c>
      <c r="O19">
        <f t="shared" si="6"/>
        <v>-0.13161043311797579</v>
      </c>
      <c r="P19">
        <f t="shared" si="2"/>
        <v>0.57161043311797577</v>
      </c>
      <c r="Q19">
        <v>0.24152094106576838</v>
      </c>
      <c r="R19">
        <v>86800090</v>
      </c>
      <c r="S19" s="13">
        <v>16107760</v>
      </c>
      <c r="T19" s="6">
        <f>69.59286/100</f>
        <v>0.69592860000000001</v>
      </c>
      <c r="U19" s="6">
        <f t="shared" si="3"/>
        <v>0.18557307947491761</v>
      </c>
      <c r="V19" s="6">
        <f>85.5857327312792/100</f>
        <v>0.85585732731279196</v>
      </c>
      <c r="W19">
        <v>41857</v>
      </c>
      <c r="Y19">
        <v>1161721.0952532643</v>
      </c>
      <c r="Z19" s="15">
        <v>0.44</v>
      </c>
    </row>
    <row r="20" spans="1:26" x14ac:dyDescent="0.2">
      <c r="A20" s="2">
        <v>35977</v>
      </c>
      <c r="B20">
        <v>133476528</v>
      </c>
      <c r="C20" s="3">
        <v>114.696647050625</v>
      </c>
      <c r="D20" s="18">
        <v>43794.2</v>
      </c>
      <c r="E20" s="15">
        <v>0.41</v>
      </c>
      <c r="F20" s="15">
        <f t="shared" si="0"/>
        <v>4.641416597381113</v>
      </c>
      <c r="G20">
        <f t="shared" si="1"/>
        <v>1163735.2218420641</v>
      </c>
      <c r="H20">
        <v>6.0658541789619491</v>
      </c>
      <c r="I20">
        <v>6.069520539611716</v>
      </c>
      <c r="J20" s="6">
        <v>-3.6663606497668866E-3</v>
      </c>
      <c r="K20" s="3">
        <v>4.4000000000000004</v>
      </c>
      <c r="L20" s="3">
        <f t="shared" si="4"/>
        <v>0.17337436644900234</v>
      </c>
      <c r="M20" s="3">
        <f t="shared" si="5"/>
        <v>0.16666700000000034</v>
      </c>
      <c r="N20">
        <v>99.866839999999996</v>
      </c>
      <c r="O20">
        <f t="shared" si="6"/>
        <v>-0.29667345553293117</v>
      </c>
      <c r="P20">
        <f t="shared" si="2"/>
        <v>0.70667345553293115</v>
      </c>
      <c r="Q20">
        <v>0.21540573231032475</v>
      </c>
      <c r="R20">
        <v>86834250</v>
      </c>
      <c r="S20" s="13">
        <v>16212810</v>
      </c>
      <c r="T20" s="6">
        <f>69.45416/100</f>
        <v>0.69454159999999998</v>
      </c>
      <c r="U20" s="6">
        <f t="shared" si="3"/>
        <v>0.18670985239119356</v>
      </c>
      <c r="V20" s="6">
        <f>86.0218502263185/100</f>
        <v>0.86021850226318508</v>
      </c>
      <c r="W20">
        <v>43794.2</v>
      </c>
      <c r="Y20">
        <v>1163735.2218420641</v>
      </c>
      <c r="Z20" s="15">
        <v>0.41</v>
      </c>
    </row>
    <row r="21" spans="1:26" x14ac:dyDescent="0.2">
      <c r="A21" s="2">
        <v>36069</v>
      </c>
      <c r="B21">
        <v>134821632</v>
      </c>
      <c r="C21" s="3">
        <v>114.929383160214</v>
      </c>
      <c r="D21" s="18">
        <v>48301.8</v>
      </c>
      <c r="E21" s="15">
        <v>0.24</v>
      </c>
      <c r="F21" s="15">
        <f t="shared" si="0"/>
        <v>4.6839633153374614</v>
      </c>
      <c r="G21">
        <f t="shared" si="1"/>
        <v>1173082.3597308947</v>
      </c>
      <c r="H21">
        <v>6.069328504119806</v>
      </c>
      <c r="I21">
        <v>6.0702260821329785</v>
      </c>
      <c r="J21" s="6">
        <v>-8.9757801317258412E-4</v>
      </c>
      <c r="K21" s="3">
        <v>4.5999999999999996</v>
      </c>
      <c r="L21" s="3">
        <f t="shared" si="4"/>
        <v>0.80320142532380667</v>
      </c>
      <c r="M21" s="3">
        <f t="shared" si="5"/>
        <v>0.19999999999999929</v>
      </c>
      <c r="N21">
        <v>100.59310000000001</v>
      </c>
      <c r="O21">
        <f t="shared" si="6"/>
        <v>0.72722837730723289</v>
      </c>
      <c r="P21">
        <f t="shared" si="2"/>
        <v>-0.4872283773072329</v>
      </c>
      <c r="Q21">
        <v>0.19439710083981471</v>
      </c>
      <c r="R21">
        <v>86757770</v>
      </c>
      <c r="S21" s="13">
        <v>16270280</v>
      </c>
      <c r="T21" s="6">
        <f>69.27718/100</f>
        <v>0.69277180000000005</v>
      </c>
      <c r="U21" s="6">
        <f t="shared" si="3"/>
        <v>0.18753686269252887</v>
      </c>
      <c r="V21" s="6">
        <f>86.9894772181436/100</f>
        <v>0.86989477218143607</v>
      </c>
      <c r="W21">
        <v>48301.8</v>
      </c>
      <c r="Y21">
        <v>1173082.3597308947</v>
      </c>
      <c r="Z21" s="15">
        <v>0.24</v>
      </c>
    </row>
    <row r="22" spans="1:26" x14ac:dyDescent="0.2">
      <c r="A22" s="2">
        <v>36161</v>
      </c>
      <c r="B22">
        <v>132268224</v>
      </c>
      <c r="C22" s="3">
        <v>114.336298676289</v>
      </c>
      <c r="D22" s="18">
        <v>48477.5</v>
      </c>
      <c r="E22" s="15">
        <v>0.23</v>
      </c>
      <c r="F22" s="15">
        <f t="shared" si="0"/>
        <v>4.6855402150319883</v>
      </c>
      <c r="G22">
        <f t="shared" si="1"/>
        <v>1156834.9293384089</v>
      </c>
      <c r="H22">
        <v>6.0632713931851638</v>
      </c>
      <c r="I22">
        <v>6.070936854756714</v>
      </c>
      <c r="J22" s="6">
        <v>-7.6654615715501251E-3</v>
      </c>
      <c r="K22" s="3">
        <v>4.8</v>
      </c>
      <c r="L22" s="3">
        <f t="shared" si="4"/>
        <v>-1.3850204342185295</v>
      </c>
      <c r="M22" s="3">
        <f t="shared" si="5"/>
        <v>0.20000000000000018</v>
      </c>
      <c r="N22">
        <v>100.164</v>
      </c>
      <c r="O22">
        <f t="shared" si="6"/>
        <v>-0.42657001325141125</v>
      </c>
      <c r="P22">
        <f t="shared" si="2"/>
        <v>0.65657001325141129</v>
      </c>
      <c r="Q22">
        <v>0.1776035049029171</v>
      </c>
      <c r="R22">
        <v>86663800</v>
      </c>
      <c r="S22" s="13">
        <v>16338710</v>
      </c>
      <c r="T22" s="6">
        <f>69.08689/100</f>
        <v>0.69086890000000001</v>
      </c>
      <c r="U22" s="6">
        <f t="shared" si="3"/>
        <v>0.18852981290919624</v>
      </c>
      <c r="V22" s="6">
        <f>86.0359715309487/100</f>
        <v>0.86035971530948696</v>
      </c>
      <c r="W22">
        <v>48477.5</v>
      </c>
      <c r="Y22">
        <v>1156834.9293384089</v>
      </c>
      <c r="Z22" s="15">
        <v>0.23</v>
      </c>
    </row>
    <row r="23" spans="1:26" x14ac:dyDescent="0.2">
      <c r="A23" s="2">
        <v>36251</v>
      </c>
      <c r="B23">
        <v>132253528</v>
      </c>
      <c r="C23" s="3">
        <v>113.874757542263</v>
      </c>
      <c r="D23" s="18">
        <v>47691.8</v>
      </c>
      <c r="E23" s="15">
        <v>0.03</v>
      </c>
      <c r="F23" s="15">
        <f t="shared" si="0"/>
        <v>4.6784437140320021</v>
      </c>
      <c r="G23">
        <f t="shared" si="1"/>
        <v>1161394.5957330884</v>
      </c>
      <c r="H23">
        <v>6.064979800818401</v>
      </c>
      <c r="I23">
        <v>6.0716669323404906</v>
      </c>
      <c r="J23" s="6">
        <v>-6.6871315220895511E-3</v>
      </c>
      <c r="K23" s="3">
        <v>4.9333330000000002</v>
      </c>
      <c r="L23" s="3">
        <f t="shared" si="4"/>
        <v>0.39415013145282851</v>
      </c>
      <c r="M23" s="3">
        <f t="shared" si="5"/>
        <v>0.13333300000000037</v>
      </c>
      <c r="N23">
        <v>99.932869999999994</v>
      </c>
      <c r="O23">
        <f t="shared" si="6"/>
        <v>-0.2307515674294231</v>
      </c>
      <c r="P23">
        <f t="shared" si="2"/>
        <v>0.26075156742942307</v>
      </c>
      <c r="Q23">
        <v>0.16442226081856806</v>
      </c>
      <c r="R23">
        <v>86604000</v>
      </c>
      <c r="S23" s="13">
        <v>16451830</v>
      </c>
      <c r="T23" s="6">
        <f>68.98834/100</f>
        <v>0.68988339999999992</v>
      </c>
      <c r="U23" s="6">
        <f t="shared" si="3"/>
        <v>0.18996616784444137</v>
      </c>
      <c r="V23" s="6">
        <f>86.4324621856747/100</f>
        <v>0.86432462185674697</v>
      </c>
      <c r="W23">
        <v>47691.8</v>
      </c>
      <c r="Y23">
        <v>1161394.5957330884</v>
      </c>
      <c r="Z23" s="15">
        <v>0.03</v>
      </c>
    </row>
    <row r="24" spans="1:26" x14ac:dyDescent="0.2">
      <c r="A24" s="2">
        <v>36342</v>
      </c>
      <c r="B24">
        <v>132148800</v>
      </c>
      <c r="C24" s="3">
        <v>113.186245792759</v>
      </c>
      <c r="D24" s="18">
        <v>46223.199999999997</v>
      </c>
      <c r="E24" s="15">
        <v>0.03</v>
      </c>
      <c r="F24" s="15">
        <f t="shared" si="0"/>
        <v>4.6648600080889038</v>
      </c>
      <c r="G24">
        <f t="shared" si="1"/>
        <v>1167534.0857400724</v>
      </c>
      <c r="H24">
        <v>6.0672695684953108</v>
      </c>
      <c r="I24">
        <v>6.0724255988283939</v>
      </c>
      <c r="J24" s="6">
        <v>-5.1560303330830948E-3</v>
      </c>
      <c r="K24" s="3">
        <v>4.9000000000000004</v>
      </c>
      <c r="L24" s="3">
        <f t="shared" si="4"/>
        <v>0.52863083998670124</v>
      </c>
      <c r="M24" s="3">
        <f t="shared" si="5"/>
        <v>-3.3332999999999835E-2</v>
      </c>
      <c r="N24">
        <v>99.866839999999996</v>
      </c>
      <c r="O24">
        <f t="shared" si="6"/>
        <v>-6.6074355714989291E-2</v>
      </c>
      <c r="P24">
        <f t="shared" si="2"/>
        <v>9.607435571498929E-2</v>
      </c>
      <c r="Q24">
        <v>0.15430265244478281</v>
      </c>
      <c r="R24">
        <v>86642560</v>
      </c>
      <c r="S24" s="13">
        <v>16512930</v>
      </c>
      <c r="T24" s="6">
        <f>69.0192/100</f>
        <v>0.69019200000000003</v>
      </c>
      <c r="U24" s="6">
        <f t="shared" si="3"/>
        <v>0.19058682014935846</v>
      </c>
      <c r="V24" s="6">
        <f>86.8136052971107/100</f>
        <v>0.86813605297110696</v>
      </c>
      <c r="W24">
        <v>46223.199999999997</v>
      </c>
      <c r="Y24">
        <v>1167534.0857400724</v>
      </c>
      <c r="Z24" s="15">
        <v>0.03</v>
      </c>
    </row>
    <row r="25" spans="1:26" x14ac:dyDescent="0.2">
      <c r="A25" s="2">
        <v>36434</v>
      </c>
      <c r="B25">
        <v>131960952</v>
      </c>
      <c r="C25" s="3">
        <v>112.989685002935</v>
      </c>
      <c r="D25" s="18">
        <v>46007.9</v>
      </c>
      <c r="E25" s="15">
        <v>0.02</v>
      </c>
      <c r="F25" s="15">
        <f t="shared" si="0"/>
        <v>4.6628324106343699</v>
      </c>
      <c r="G25">
        <f t="shared" si="1"/>
        <v>1167902.645242105</v>
      </c>
      <c r="H25">
        <v>6.0674066420945998</v>
      </c>
      <c r="I25">
        <v>6.0732179587073079</v>
      </c>
      <c r="J25" s="6">
        <v>-5.8113166127080618E-3</v>
      </c>
      <c r="K25" s="3">
        <v>4.8666669999999996</v>
      </c>
      <c r="L25" s="3">
        <f t="shared" si="4"/>
        <v>3.1567344074495622E-2</v>
      </c>
      <c r="M25" s="3">
        <f t="shared" si="5"/>
        <v>-3.3333000000000723E-2</v>
      </c>
      <c r="N25">
        <v>99.569720000000004</v>
      </c>
      <c r="O25">
        <f t="shared" si="6"/>
        <v>-0.29751617253534057</v>
      </c>
      <c r="P25">
        <f t="shared" si="2"/>
        <v>0.31751617253534059</v>
      </c>
      <c r="Q25">
        <v>0.14665124619888678</v>
      </c>
      <c r="R25">
        <v>86600850</v>
      </c>
      <c r="S25" s="13">
        <v>16533150</v>
      </c>
      <c r="T25" s="6">
        <f>68.99085/100</f>
        <v>0.68990849999999992</v>
      </c>
      <c r="U25" s="6">
        <f t="shared" si="3"/>
        <v>0.19091209843783288</v>
      </c>
      <c r="V25" s="6">
        <f>86.8840780885754/100</f>
        <v>0.86884078088575389</v>
      </c>
      <c r="W25">
        <v>46007.9</v>
      </c>
      <c r="Y25">
        <v>1167902.645242105</v>
      </c>
      <c r="Z25" s="15">
        <v>0.02</v>
      </c>
    </row>
    <row r="26" spans="1:26" x14ac:dyDescent="0.2">
      <c r="A26" s="2">
        <v>36526</v>
      </c>
      <c r="B26">
        <v>133790248</v>
      </c>
      <c r="C26" s="3">
        <v>112.611631497939</v>
      </c>
      <c r="D26" s="18">
        <v>43484</v>
      </c>
      <c r="E26" s="15">
        <v>0.02</v>
      </c>
      <c r="F26" s="15">
        <f t="shared" si="0"/>
        <v>4.6383294870707772</v>
      </c>
      <c r="G26">
        <f t="shared" si="1"/>
        <v>1188067.7530406672</v>
      </c>
      <c r="H26">
        <v>6.0748412082652594</v>
      </c>
      <c r="I26">
        <v>6.0740458939451578</v>
      </c>
      <c r="J26" s="6">
        <v>7.953143201016033E-4</v>
      </c>
      <c r="K26" s="3">
        <v>5</v>
      </c>
      <c r="L26" s="3">
        <f t="shared" si="4"/>
        <v>1.7266086245041379</v>
      </c>
      <c r="M26" s="3">
        <f t="shared" si="5"/>
        <v>0.13333300000000037</v>
      </c>
      <c r="N26">
        <v>99.601259999999996</v>
      </c>
      <c r="O26">
        <f t="shared" si="6"/>
        <v>3.1676296769733381E-2</v>
      </c>
      <c r="P26">
        <f t="shared" si="2"/>
        <v>-1.167629676973338E-2</v>
      </c>
      <c r="Q26">
        <v>0.14097661694826208</v>
      </c>
      <c r="R26">
        <v>86529300</v>
      </c>
      <c r="S26" s="13">
        <v>16448710</v>
      </c>
      <c r="T26" s="6">
        <f>68.75898/100</f>
        <v>0.68758979999999992</v>
      </c>
      <c r="U26" s="6">
        <f t="shared" si="3"/>
        <v>0.19009410685166758</v>
      </c>
      <c r="V26" s="6">
        <f>88.77679916146/100</f>
        <v>0.88776799161460007</v>
      </c>
      <c r="W26">
        <v>43484</v>
      </c>
      <c r="Y26">
        <v>1188067.7530406672</v>
      </c>
      <c r="Z26" s="15">
        <v>0.02</v>
      </c>
    </row>
    <row r="27" spans="1:26" x14ac:dyDescent="0.2">
      <c r="A27" s="2">
        <v>36617</v>
      </c>
      <c r="B27">
        <v>133835848</v>
      </c>
      <c r="C27" s="3">
        <v>112.146982994205</v>
      </c>
      <c r="D27" s="18">
        <v>43190.7</v>
      </c>
      <c r="E27" s="15">
        <v>0.02</v>
      </c>
      <c r="F27" s="15">
        <f t="shared" si="0"/>
        <v>4.6353902427989162</v>
      </c>
      <c r="G27">
        <f t="shared" si="1"/>
        <v>1193396.776504596</v>
      </c>
      <c r="H27">
        <v>6.0767848604327002</v>
      </c>
      <c r="I27">
        <v>6.0749076544369887</v>
      </c>
      <c r="J27" s="6">
        <v>1.8772059957115061E-3</v>
      </c>
      <c r="K27" s="3">
        <v>4.9000000000000004</v>
      </c>
      <c r="L27" s="3">
        <f t="shared" si="4"/>
        <v>0.44854541757320371</v>
      </c>
      <c r="M27" s="3">
        <f t="shared" si="5"/>
        <v>-9.9999999999999645E-2</v>
      </c>
      <c r="N27">
        <v>99.407610000000005</v>
      </c>
      <c r="O27">
        <f t="shared" si="6"/>
        <v>-0.19442525124681254</v>
      </c>
      <c r="P27">
        <f t="shared" si="2"/>
        <v>0.21442525124681253</v>
      </c>
      <c r="Q27">
        <v>0.1366883848459354</v>
      </c>
      <c r="R27">
        <v>86489060</v>
      </c>
      <c r="S27" s="13">
        <v>16462350</v>
      </c>
      <c r="T27" s="6">
        <f>69.02222/100</f>
        <v>0.69022220000000001</v>
      </c>
      <c r="U27" s="6">
        <f t="shared" si="3"/>
        <v>0.19034025806269603</v>
      </c>
      <c r="V27" s="6">
        <f>89.0740666157828/100</f>
        <v>0.89074066615782799</v>
      </c>
      <c r="W27">
        <v>43190.7</v>
      </c>
      <c r="Y27">
        <v>1193396.776504596</v>
      </c>
      <c r="Z27" s="15">
        <v>0.02</v>
      </c>
    </row>
    <row r="28" spans="1:26" x14ac:dyDescent="0.2">
      <c r="A28" s="2">
        <v>36708</v>
      </c>
      <c r="B28">
        <v>133612752</v>
      </c>
      <c r="C28" s="3">
        <v>111.928393465924</v>
      </c>
      <c r="D28" s="18">
        <v>42385.1</v>
      </c>
      <c r="E28" s="15">
        <v>0.02</v>
      </c>
      <c r="F28" s="15">
        <f t="shared" si="0"/>
        <v>4.6272132121340483</v>
      </c>
      <c r="G28">
        <f t="shared" si="1"/>
        <v>1193734.2068675156</v>
      </c>
      <c r="H28">
        <v>6.0769076389032906</v>
      </c>
      <c r="I28">
        <v>6.075801987149295</v>
      </c>
      <c r="J28" s="6">
        <v>1.1056517539955735E-3</v>
      </c>
      <c r="K28" s="3">
        <v>4.8666669999999996</v>
      </c>
      <c r="L28" s="3">
        <f t="shared" si="4"/>
        <v>2.8274784175963359E-2</v>
      </c>
      <c r="M28" s="3">
        <f t="shared" si="5"/>
        <v>-3.3333000000000723E-2</v>
      </c>
      <c r="N28">
        <v>99.246229999999997</v>
      </c>
      <c r="O28">
        <f t="shared" si="6"/>
        <v>-0.16234169597278145</v>
      </c>
      <c r="P28">
        <f t="shared" si="2"/>
        <v>0.18234169597278144</v>
      </c>
      <c r="Q28">
        <v>0.13324207544137007</v>
      </c>
      <c r="R28">
        <v>86388220</v>
      </c>
      <c r="S28" s="13">
        <v>16411630</v>
      </c>
      <c r="T28" s="6">
        <f>69.01018/100</f>
        <v>0.6901018000000001</v>
      </c>
      <c r="U28" s="6">
        <f t="shared" si="3"/>
        <v>0.18997532302436607</v>
      </c>
      <c r="V28" s="6">
        <f>89.0640029018491/100</f>
        <v>0.89064002901849093</v>
      </c>
      <c r="W28">
        <v>42385.1</v>
      </c>
      <c r="Y28">
        <v>1193734.2068675156</v>
      </c>
      <c r="Z28" s="15">
        <v>0.02</v>
      </c>
    </row>
    <row r="29" spans="1:26" x14ac:dyDescent="0.2">
      <c r="A29" s="2">
        <v>36800</v>
      </c>
      <c r="B29">
        <v>134454592</v>
      </c>
      <c r="C29" s="3">
        <v>111.55688629563601</v>
      </c>
      <c r="D29" s="18">
        <v>41059</v>
      </c>
      <c r="E29" s="15">
        <v>0.25</v>
      </c>
      <c r="F29" s="15">
        <f t="shared" si="0"/>
        <v>4.6134083678360698</v>
      </c>
      <c r="G29">
        <f t="shared" si="1"/>
        <v>1205255.8695810402</v>
      </c>
      <c r="H29">
        <v>6.0810792551689001</v>
      </c>
      <c r="I29">
        <v>6.0767288123023189</v>
      </c>
      <c r="J29" s="6">
        <v>4.3504428665812611E-3</v>
      </c>
      <c r="K29" s="3">
        <v>4.9666670000000002</v>
      </c>
      <c r="L29" s="3">
        <f t="shared" si="4"/>
        <v>0.96517823207552289</v>
      </c>
      <c r="M29" s="3">
        <f t="shared" si="5"/>
        <v>0.10000000000000053</v>
      </c>
      <c r="N29">
        <v>99.117130000000003</v>
      </c>
      <c r="O29">
        <f t="shared" si="6"/>
        <v>-0.13008050784396949</v>
      </c>
      <c r="P29">
        <f t="shared" si="2"/>
        <v>0.38008050784396952</v>
      </c>
      <c r="Q29">
        <v>0.13012174760348366</v>
      </c>
      <c r="R29">
        <v>86362650</v>
      </c>
      <c r="S29" s="13">
        <v>16330320</v>
      </c>
      <c r="T29" s="6">
        <f>69.1657/100</f>
        <v>0.69165699999999997</v>
      </c>
      <c r="U29" s="6">
        <f t="shared" si="3"/>
        <v>0.1890900753971769</v>
      </c>
      <c r="V29" s="6">
        <f>89.5386885200852/100</f>
        <v>0.89538688520085197</v>
      </c>
      <c r="W29">
        <v>41059</v>
      </c>
      <c r="Y29">
        <v>1205255.8695810402</v>
      </c>
      <c r="Z29" s="15">
        <v>0.25</v>
      </c>
    </row>
    <row r="30" spans="1:26" x14ac:dyDescent="0.2">
      <c r="A30" s="2">
        <v>36892</v>
      </c>
      <c r="B30">
        <v>135646704</v>
      </c>
      <c r="C30" s="3">
        <v>111.712921488406</v>
      </c>
      <c r="D30" s="18">
        <v>43067.1</v>
      </c>
      <c r="E30" s="15">
        <v>0.25</v>
      </c>
      <c r="F30" s="15">
        <f t="shared" si="0"/>
        <v>4.6341456287535356</v>
      </c>
      <c r="G30">
        <f t="shared" si="1"/>
        <v>1214243.6362124674</v>
      </c>
      <c r="H30">
        <v>6.0843058360363225</v>
      </c>
      <c r="I30">
        <v>6.0776887411486493</v>
      </c>
      <c r="J30" s="6">
        <v>6.6170948876731472E-3</v>
      </c>
      <c r="K30" s="3">
        <v>4.9333330000000002</v>
      </c>
      <c r="L30" s="3">
        <f t="shared" si="4"/>
        <v>0.7457144045729861</v>
      </c>
      <c r="M30" s="3">
        <f t="shared" si="5"/>
        <v>-3.3333999999999975E-2</v>
      </c>
      <c r="N30">
        <v>99.084850000000003</v>
      </c>
      <c r="O30">
        <f t="shared" si="6"/>
        <v>-3.2567528942777181E-2</v>
      </c>
      <c r="P30">
        <f t="shared" si="2"/>
        <v>0.2825675289427772</v>
      </c>
      <c r="Q30">
        <v>0.12696573422144541</v>
      </c>
      <c r="R30">
        <v>86254800</v>
      </c>
      <c r="S30" s="13">
        <v>16151620</v>
      </c>
      <c r="T30" s="6">
        <f>69.25991/100</f>
        <v>0.69259910000000002</v>
      </c>
      <c r="U30" s="6">
        <f t="shared" si="3"/>
        <v>0.18725473828702865</v>
      </c>
      <c r="V30" s="6">
        <f>90.3888823390306/100</f>
        <v>0.90388882339030596</v>
      </c>
      <c r="W30">
        <v>43067.1</v>
      </c>
      <c r="Y30">
        <v>1214243.6362124674</v>
      </c>
      <c r="Z30" s="15">
        <v>0.25</v>
      </c>
    </row>
    <row r="31" spans="1:26" x14ac:dyDescent="0.2">
      <c r="A31" s="2">
        <v>36982</v>
      </c>
      <c r="B31">
        <v>133556600</v>
      </c>
      <c r="C31" s="3">
        <v>110.826754093471</v>
      </c>
      <c r="D31" s="18">
        <v>40505.599999999999</v>
      </c>
      <c r="E31" s="15">
        <v>0.02</v>
      </c>
      <c r="F31" s="15">
        <f t="shared" si="0"/>
        <v>4.6075150696584339</v>
      </c>
      <c r="G31">
        <f t="shared" si="1"/>
        <v>1205093.4911200115</v>
      </c>
      <c r="H31">
        <v>6.0810207407718915</v>
      </c>
      <c r="I31">
        <v>6.0786851039676657</v>
      </c>
      <c r="J31" s="6">
        <v>2.3356368042257714E-3</v>
      </c>
      <c r="K31" s="3">
        <v>5.0666669999999998</v>
      </c>
      <c r="L31" s="3">
        <f t="shared" si="4"/>
        <v>-0.75356747357536225</v>
      </c>
      <c r="M31" s="3">
        <f t="shared" si="5"/>
        <v>0.13333399999999962</v>
      </c>
      <c r="N31">
        <v>98.632999999999996</v>
      </c>
      <c r="O31">
        <f t="shared" si="6"/>
        <v>-0.45602329720437318</v>
      </c>
      <c r="P31">
        <f t="shared" si="2"/>
        <v>0.4760232972043732</v>
      </c>
      <c r="Q31">
        <v>0.12350764679776161</v>
      </c>
      <c r="R31">
        <v>86189950</v>
      </c>
      <c r="S31" s="13">
        <v>16091270</v>
      </c>
      <c r="T31" s="6">
        <f>68.97169/100</f>
        <v>0.68971689999999997</v>
      </c>
      <c r="U31" s="6">
        <f t="shared" si="3"/>
        <v>0.18669543258813817</v>
      </c>
      <c r="V31" s="6">
        <f>90.2633161855938/100</f>
        <v>0.90263316185593789</v>
      </c>
      <c r="W31">
        <v>40505.599999999999</v>
      </c>
      <c r="Y31">
        <v>1205093.4911200115</v>
      </c>
      <c r="Z31" s="15">
        <v>0.02</v>
      </c>
    </row>
    <row r="32" spans="1:26" x14ac:dyDescent="0.2">
      <c r="A32" s="2">
        <v>37073</v>
      </c>
      <c r="B32">
        <v>131762000</v>
      </c>
      <c r="C32" s="3">
        <v>110.52901999283</v>
      </c>
      <c r="D32" s="18">
        <v>40511.1</v>
      </c>
      <c r="E32" s="15">
        <v>0.01</v>
      </c>
      <c r="F32" s="15">
        <f t="shared" si="0"/>
        <v>4.6075740357642889</v>
      </c>
      <c r="G32">
        <f t="shared" si="1"/>
        <v>1192103.2142377393</v>
      </c>
      <c r="H32">
        <v>6.0763138589556611</v>
      </c>
      <c r="I32">
        <v>6.0797253667230526</v>
      </c>
      <c r="J32" s="6">
        <v>-3.4115077673915195E-3</v>
      </c>
      <c r="K32" s="3">
        <v>5.3666669999999996</v>
      </c>
      <c r="L32" s="3">
        <f t="shared" si="4"/>
        <v>-1.0779476429002264</v>
      </c>
      <c r="M32" s="3">
        <f t="shared" si="5"/>
        <v>0.29999999999999982</v>
      </c>
      <c r="N32">
        <v>98.407070000000004</v>
      </c>
      <c r="O32">
        <f t="shared" si="6"/>
        <v>-0.22906126752708636</v>
      </c>
      <c r="P32">
        <f t="shared" si="2"/>
        <v>0.23906126752708637</v>
      </c>
      <c r="Q32">
        <v>0.11969925781180285</v>
      </c>
      <c r="R32">
        <v>86102860</v>
      </c>
      <c r="S32" s="13">
        <v>16115220</v>
      </c>
      <c r="T32" s="6">
        <f>68.64271/100</f>
        <v>0.68642709999999996</v>
      </c>
      <c r="U32" s="6">
        <f t="shared" si="3"/>
        <v>0.18716242410530848</v>
      </c>
      <c r="V32" s="6">
        <f>89.6886099263359/100</f>
        <v>0.89688609926335905</v>
      </c>
      <c r="W32">
        <v>40511.1</v>
      </c>
      <c r="Y32">
        <v>1192103.2142377393</v>
      </c>
      <c r="Z32" s="15">
        <v>0.01</v>
      </c>
    </row>
    <row r="33" spans="1:26" x14ac:dyDescent="0.2">
      <c r="A33" s="2">
        <v>37165</v>
      </c>
      <c r="B33">
        <v>130974896</v>
      </c>
      <c r="C33" s="3">
        <v>110.261334120512</v>
      </c>
      <c r="D33" s="18">
        <v>39542.1</v>
      </c>
      <c r="E33" s="15">
        <v>3.0000000000000001E-3</v>
      </c>
      <c r="F33" s="15">
        <f t="shared" si="0"/>
        <v>4.59705973008119</v>
      </c>
      <c r="G33">
        <f t="shared" si="1"/>
        <v>1187858.7996844728</v>
      </c>
      <c r="H33">
        <v>6.0747648192963331</v>
      </c>
      <c r="I33">
        <v>6.0808184551514985</v>
      </c>
      <c r="J33" s="6">
        <v>-6.0536358551654956E-3</v>
      </c>
      <c r="K33" s="3">
        <v>5.6</v>
      </c>
      <c r="L33" s="3">
        <f t="shared" si="4"/>
        <v>-0.35604421685755366</v>
      </c>
      <c r="M33" s="3">
        <f t="shared" si="5"/>
        <v>0.23333300000000001</v>
      </c>
      <c r="N33">
        <v>98.052049999999994</v>
      </c>
      <c r="O33">
        <f t="shared" si="6"/>
        <v>-0.36076676198164453</v>
      </c>
      <c r="P33">
        <f t="shared" si="2"/>
        <v>0.36376676198164454</v>
      </c>
      <c r="Q33">
        <v>0.11556456075589561</v>
      </c>
      <c r="R33">
        <v>86141730</v>
      </c>
      <c r="S33" s="13">
        <v>16228170</v>
      </c>
      <c r="T33" s="6">
        <f>68.48404/100</f>
        <v>0.6848403999999999</v>
      </c>
      <c r="U33" s="6">
        <f t="shared" si="3"/>
        <v>0.18838918141068214</v>
      </c>
      <c r="V33" s="6">
        <f>89.4158635806731/100</f>
        <v>0.89415863580673105</v>
      </c>
      <c r="W33">
        <v>39542.1</v>
      </c>
      <c r="Y33">
        <v>1187858.7996844728</v>
      </c>
      <c r="Z33" s="15">
        <v>3.0000000000000001E-3</v>
      </c>
    </row>
    <row r="34" spans="1:26" x14ac:dyDescent="0.2">
      <c r="A34" s="2">
        <v>37257</v>
      </c>
      <c r="B34">
        <v>131373200</v>
      </c>
      <c r="C34" s="3">
        <v>110.400426875344</v>
      </c>
      <c r="D34" s="18">
        <v>40034</v>
      </c>
      <c r="E34" s="15">
        <v>1E-3</v>
      </c>
      <c r="F34" s="15">
        <f t="shared" si="0"/>
        <v>4.6024289848375455</v>
      </c>
      <c r="G34">
        <f t="shared" si="1"/>
        <v>1189970.0365138706</v>
      </c>
      <c r="H34">
        <v>6.0755360259803322</v>
      </c>
      <c r="I34">
        <v>6.0819711627973367</v>
      </c>
      <c r="J34" s="6">
        <v>-6.4351368170045831E-3</v>
      </c>
      <c r="K34" s="3">
        <v>5.5666669999999998</v>
      </c>
      <c r="L34" s="3">
        <f t="shared" si="4"/>
        <v>0.17773466256751522</v>
      </c>
      <c r="M34" s="3">
        <f t="shared" si="5"/>
        <v>-3.3332999999999835E-2</v>
      </c>
      <c r="N34">
        <v>97.729290000000006</v>
      </c>
      <c r="O34">
        <f t="shared" si="6"/>
        <v>-0.32917210807931929</v>
      </c>
      <c r="P34">
        <f t="shared" si="2"/>
        <v>0.33017210807931929</v>
      </c>
      <c r="Q34">
        <v>0.11128009131247245</v>
      </c>
      <c r="R34">
        <v>85904660</v>
      </c>
      <c r="S34" s="13">
        <v>16395260</v>
      </c>
      <c r="T34" s="6">
        <f>68.42081/100</f>
        <v>0.68420809999999999</v>
      </c>
      <c r="U34" s="6">
        <f t="shared" si="3"/>
        <v>0.19085413992675135</v>
      </c>
      <c r="V34" s="6">
        <f>89.898911284213/100</f>
        <v>0.89898911284213001</v>
      </c>
      <c r="W34">
        <v>40034</v>
      </c>
      <c r="Y34">
        <v>1189970.0365138706</v>
      </c>
      <c r="Z34" s="15">
        <v>1E-3</v>
      </c>
    </row>
    <row r="35" spans="1:26" x14ac:dyDescent="0.2">
      <c r="A35" s="2">
        <v>37347</v>
      </c>
      <c r="B35">
        <v>131052496</v>
      </c>
      <c r="C35" s="3">
        <v>109.25883805521499</v>
      </c>
      <c r="D35" s="18">
        <v>38943</v>
      </c>
      <c r="E35" s="15">
        <v>1E-3</v>
      </c>
      <c r="F35" s="15">
        <f t="shared" si="0"/>
        <v>4.5904294046380487</v>
      </c>
      <c r="G35">
        <f t="shared" si="1"/>
        <v>1199468.1467669588</v>
      </c>
      <c r="H35">
        <v>6.0789887192759018</v>
      </c>
      <c r="I35">
        <v>6.0831864996824905</v>
      </c>
      <c r="J35" s="6">
        <v>-4.1977804065886914E-3</v>
      </c>
      <c r="K35" s="3">
        <v>5.6333330000000004</v>
      </c>
      <c r="L35" s="3">
        <f t="shared" si="4"/>
        <v>0.79818062317886462</v>
      </c>
      <c r="M35" s="3">
        <f t="shared" si="5"/>
        <v>6.6666000000000558E-2</v>
      </c>
      <c r="N35">
        <v>97.761570000000006</v>
      </c>
      <c r="O35">
        <f t="shared" si="6"/>
        <v>3.3030015873439872E-2</v>
      </c>
      <c r="P35">
        <f t="shared" ref="P35:P66" si="7">E35-O35</f>
        <v>-3.2030015873439871E-2</v>
      </c>
      <c r="Q35">
        <v>0.10715651488104312</v>
      </c>
      <c r="R35">
        <v>85707270</v>
      </c>
      <c r="S35" s="13">
        <v>16520790</v>
      </c>
      <c r="T35" s="6">
        <f>68.16614/100</f>
        <v>0.68166139999999997</v>
      </c>
      <c r="U35" s="6">
        <f t="shared" si="3"/>
        <v>0.19275832726908698</v>
      </c>
      <c r="V35" s="6">
        <f>91.2575575439074/100</f>
        <v>0.91257557543907397</v>
      </c>
      <c r="W35">
        <v>38943</v>
      </c>
      <c r="Y35">
        <v>1199468.1467669588</v>
      </c>
      <c r="Z35" s="15">
        <v>1E-3</v>
      </c>
    </row>
    <row r="36" spans="1:26" x14ac:dyDescent="0.2">
      <c r="A36" s="2">
        <v>37438</v>
      </c>
      <c r="B36">
        <v>131052448</v>
      </c>
      <c r="C36" s="3">
        <v>108.897459961384</v>
      </c>
      <c r="D36" s="18">
        <v>38797.9</v>
      </c>
      <c r="E36" s="15">
        <v>2E-3</v>
      </c>
      <c r="F36" s="15">
        <f t="shared" si="0"/>
        <v>4.5888082193289028</v>
      </c>
      <c r="G36">
        <f t="shared" si="1"/>
        <v>1203448.1616602661</v>
      </c>
      <c r="H36">
        <v>6.0804273878476378</v>
      </c>
      <c r="I36">
        <v>6.0844634538683735</v>
      </c>
      <c r="J36" s="6">
        <v>-4.0360660207356958E-3</v>
      </c>
      <c r="K36" s="3">
        <v>5.7</v>
      </c>
      <c r="L36" s="3">
        <f t="shared" si="4"/>
        <v>0.33181497183022873</v>
      </c>
      <c r="M36" s="3">
        <f t="shared" si="5"/>
        <v>6.666699999999981E-2</v>
      </c>
      <c r="N36">
        <v>97.632469999999998</v>
      </c>
      <c r="O36">
        <f t="shared" si="6"/>
        <v>-0.13205598068853458</v>
      </c>
      <c r="P36">
        <f t="shared" si="7"/>
        <v>0.13405598068853458</v>
      </c>
      <c r="Q36">
        <v>0.10341492804412616</v>
      </c>
      <c r="R36">
        <v>85654280</v>
      </c>
      <c r="S36" s="13">
        <v>16699090</v>
      </c>
      <c r="T36" s="6">
        <f>68.28225/100</f>
        <v>0.6828225</v>
      </c>
      <c r="U36" s="6">
        <f t="shared" si="3"/>
        <v>0.19495920110472004</v>
      </c>
      <c r="V36" s="6">
        <f>91.4767901796044/100</f>
        <v>0.91476790179604395</v>
      </c>
      <c r="W36">
        <v>38797.9</v>
      </c>
      <c r="Y36">
        <v>1203448.1616602661</v>
      </c>
      <c r="Z36" s="15">
        <v>2E-3</v>
      </c>
    </row>
    <row r="37" spans="1:26" x14ac:dyDescent="0.2">
      <c r="A37" s="2">
        <v>37530</v>
      </c>
      <c r="B37">
        <v>131103648</v>
      </c>
      <c r="C37" s="3">
        <v>108.64697203520301</v>
      </c>
      <c r="D37" s="18">
        <v>38216.699999999997</v>
      </c>
      <c r="E37" s="15">
        <v>2E-3</v>
      </c>
      <c r="F37" s="15">
        <f t="shared" si="0"/>
        <v>4.5822531831463751</v>
      </c>
      <c r="G37">
        <f t="shared" si="1"/>
        <v>1206693.9882827175</v>
      </c>
      <c r="H37">
        <v>6.0815971490947938</v>
      </c>
      <c r="I37">
        <v>6.0857983898036432</v>
      </c>
      <c r="J37" s="6">
        <v>-4.2012407088494186E-3</v>
      </c>
      <c r="K37" s="3">
        <v>5.5666669999999998</v>
      </c>
      <c r="L37" s="3">
        <f t="shared" si="4"/>
        <v>0.26971054723067672</v>
      </c>
      <c r="M37" s="3">
        <f t="shared" si="5"/>
        <v>-0.13333300000000037</v>
      </c>
      <c r="N37">
        <v>97.535640000000001</v>
      </c>
      <c r="O37">
        <f t="shared" si="6"/>
        <v>-9.9178070574263949E-2</v>
      </c>
      <c r="P37">
        <f t="shared" si="7"/>
        <v>0.10117807057426395</v>
      </c>
      <c r="Q37">
        <v>0.10029323955036978</v>
      </c>
      <c r="R37">
        <v>85500450</v>
      </c>
      <c r="S37" s="13">
        <v>16827300</v>
      </c>
      <c r="T37" s="6">
        <f>68.38561/100</f>
        <v>0.68385609999999997</v>
      </c>
      <c r="U37" s="6">
        <f t="shared" si="3"/>
        <v>0.19680949047636592</v>
      </c>
      <c r="V37" s="6">
        <f>91.7716868233602/100</f>
        <v>0.91771686823360199</v>
      </c>
      <c r="W37">
        <v>38216.699999999997</v>
      </c>
      <c r="Y37">
        <v>1206693.9882827175</v>
      </c>
      <c r="Z37" s="15">
        <v>2E-3</v>
      </c>
    </row>
    <row r="38" spans="1:26" x14ac:dyDescent="0.2">
      <c r="A38" s="2">
        <v>37622</v>
      </c>
      <c r="B38">
        <v>130345128</v>
      </c>
      <c r="C38" s="3">
        <v>107.951549675606</v>
      </c>
      <c r="D38" s="18">
        <v>36975.300000000003</v>
      </c>
      <c r="E38" s="15">
        <v>2E-3</v>
      </c>
      <c r="F38" s="15">
        <f t="shared" si="0"/>
        <v>4.5679117063421151</v>
      </c>
      <c r="G38">
        <f t="shared" si="1"/>
        <v>1207441.0084124464</v>
      </c>
      <c r="H38">
        <v>6.0818659217450479</v>
      </c>
      <c r="I38">
        <v>6.0871851493956948</v>
      </c>
      <c r="J38" s="6">
        <v>-5.3192276506468517E-3</v>
      </c>
      <c r="K38" s="3">
        <v>5.6333330000000004</v>
      </c>
      <c r="L38" s="3">
        <f t="shared" si="4"/>
        <v>6.1906343860379735E-2</v>
      </c>
      <c r="M38" s="3">
        <f t="shared" si="5"/>
        <v>6.6666000000000558E-2</v>
      </c>
      <c r="N38">
        <v>97.471090000000004</v>
      </c>
      <c r="O38">
        <f t="shared" si="6"/>
        <v>-6.6180936527403728E-2</v>
      </c>
      <c r="P38">
        <f t="shared" si="7"/>
        <v>6.8180936527403729E-2</v>
      </c>
      <c r="Q38">
        <v>9.8027960112503518E-2</v>
      </c>
      <c r="R38">
        <v>85371200</v>
      </c>
      <c r="S38" s="13">
        <v>17002350</v>
      </c>
      <c r="T38" s="6">
        <f>68.32905/100</f>
        <v>0.68329049999999991</v>
      </c>
      <c r="U38" s="6">
        <f t="shared" si="3"/>
        <v>0.19915791273872219</v>
      </c>
      <c r="V38" s="6">
        <f>91.9695703137082/100</f>
        <v>0.91969570313708204</v>
      </c>
      <c r="W38">
        <v>36975.300000000003</v>
      </c>
      <c r="Y38">
        <v>1207441.0084124464</v>
      </c>
      <c r="Z38" s="15">
        <v>2E-3</v>
      </c>
    </row>
    <row r="39" spans="1:26" x14ac:dyDescent="0.2">
      <c r="A39" s="2">
        <v>37712</v>
      </c>
      <c r="B39">
        <v>131127504</v>
      </c>
      <c r="C39" s="3">
        <v>107.868134090872</v>
      </c>
      <c r="D39" s="18">
        <v>37119.699999999997</v>
      </c>
      <c r="E39" s="15">
        <v>1E-3</v>
      </c>
      <c r="F39" s="15">
        <f t="shared" si="0"/>
        <v>4.5696044576095645</v>
      </c>
      <c r="G39">
        <f t="shared" si="1"/>
        <v>1215627.8135814741</v>
      </c>
      <c r="H39">
        <v>6.0848006281854374</v>
      </c>
      <c r="I39">
        <v>6.0886149487764794</v>
      </c>
      <c r="J39" s="6">
        <v>-3.8143205910419198E-3</v>
      </c>
      <c r="K39" s="3">
        <v>5.6666669999999986</v>
      </c>
      <c r="L39" s="3">
        <f t="shared" si="4"/>
        <v>0.67802941195378519</v>
      </c>
      <c r="M39" s="3">
        <f t="shared" si="5"/>
        <v>3.3333999999998198E-2</v>
      </c>
      <c r="N39">
        <v>97.535640000000001</v>
      </c>
      <c r="O39">
        <f t="shared" si="6"/>
        <v>6.6224764696893201E-2</v>
      </c>
      <c r="P39">
        <f t="shared" si="7"/>
        <v>-6.52247646968932E-2</v>
      </c>
      <c r="Q39">
        <v>9.6835530253867541E-2</v>
      </c>
      <c r="R39">
        <v>85340210</v>
      </c>
      <c r="S39" s="13">
        <v>17201870</v>
      </c>
      <c r="T39" s="6">
        <f>68.33434/100</f>
        <v>0.68334339999999993</v>
      </c>
      <c r="U39" s="6">
        <f t="shared" si="3"/>
        <v>0.20156817050250989</v>
      </c>
      <c r="V39" s="6">
        <f>92.4355163044806/100</f>
        <v>0.92435516304480603</v>
      </c>
      <c r="W39">
        <v>37119.699999999997</v>
      </c>
      <c r="Y39">
        <v>1215627.8135814741</v>
      </c>
      <c r="Z39" s="15">
        <v>1E-3</v>
      </c>
    </row>
    <row r="40" spans="1:26" x14ac:dyDescent="0.2">
      <c r="A40" s="2">
        <v>37803</v>
      </c>
      <c r="B40">
        <v>131096128</v>
      </c>
      <c r="C40" s="3">
        <v>107.50761378963099</v>
      </c>
      <c r="D40" s="18">
        <v>36093.599999999999</v>
      </c>
      <c r="E40" s="15">
        <v>2E-3</v>
      </c>
      <c r="F40" s="15">
        <f t="shared" si="0"/>
        <v>4.5574302010443217</v>
      </c>
      <c r="G40">
        <f t="shared" si="1"/>
        <v>1219412.4990675228</v>
      </c>
      <c r="H40">
        <v>6.0861506422589979</v>
      </c>
      <c r="I40">
        <v>6.0900756795606661</v>
      </c>
      <c r="J40" s="6">
        <v>-3.925037301668155E-3</v>
      </c>
      <c r="K40" s="3">
        <v>5.3666669999999996</v>
      </c>
      <c r="L40" s="3">
        <f t="shared" si="4"/>
        <v>0.31133587466202167</v>
      </c>
      <c r="M40" s="3">
        <f t="shared" si="5"/>
        <v>-0.29999999999999893</v>
      </c>
      <c r="N40">
        <v>97.406540000000007</v>
      </c>
      <c r="O40">
        <f t="shared" si="6"/>
        <v>-0.13236187305480746</v>
      </c>
      <c r="P40">
        <f t="shared" si="7"/>
        <v>0.13436187305480746</v>
      </c>
      <c r="Q40">
        <v>9.6830357544796145E-2</v>
      </c>
      <c r="R40">
        <v>85283860</v>
      </c>
      <c r="S40" s="13">
        <v>17387210</v>
      </c>
      <c r="T40" s="6">
        <f>68.47329/100</f>
        <v>0.68473290000000009</v>
      </c>
      <c r="U40" s="6">
        <f t="shared" si="3"/>
        <v>0.20387456665305723</v>
      </c>
      <c r="V40" s="6">
        <f>92.772915162583/100</f>
        <v>0.92772915162583003</v>
      </c>
      <c r="W40">
        <v>36093.599999999999</v>
      </c>
      <c r="Y40">
        <v>1219412.4990675228</v>
      </c>
      <c r="Z40" s="15">
        <v>2E-3</v>
      </c>
    </row>
    <row r="41" spans="1:26" x14ac:dyDescent="0.2">
      <c r="A41" s="2">
        <v>37895</v>
      </c>
      <c r="B41">
        <v>131599952</v>
      </c>
      <c r="C41" s="3">
        <v>106.761446242925</v>
      </c>
      <c r="D41" s="18">
        <v>35258.699999999997</v>
      </c>
      <c r="E41" s="15">
        <v>1E-3</v>
      </c>
      <c r="F41" s="15">
        <f t="shared" si="0"/>
        <v>4.5472662956764474</v>
      </c>
      <c r="G41">
        <f t="shared" si="1"/>
        <v>1232654.2645418784</v>
      </c>
      <c r="H41">
        <v>6.0908412825512022</v>
      </c>
      <c r="I41">
        <v>6.0915528494125564</v>
      </c>
      <c r="J41" s="6">
        <v>-7.1156686135420699E-4</v>
      </c>
      <c r="K41" s="3">
        <v>5.233333</v>
      </c>
      <c r="L41" s="3">
        <f t="shared" si="4"/>
        <v>1.0859135431596316</v>
      </c>
      <c r="M41" s="3">
        <f t="shared" si="5"/>
        <v>-0.13333399999999962</v>
      </c>
      <c r="N41">
        <v>97.212890000000002</v>
      </c>
      <c r="O41">
        <f t="shared" si="6"/>
        <v>-0.19880595286518254</v>
      </c>
      <c r="P41">
        <f t="shared" si="7"/>
        <v>0.19980595286518255</v>
      </c>
      <c r="Q41">
        <v>9.8150303519874235E-2</v>
      </c>
      <c r="R41">
        <v>85206700</v>
      </c>
      <c r="S41" s="13">
        <v>17598610</v>
      </c>
      <c r="T41" s="6">
        <f>68.69961/100</f>
        <v>0.68699610000000011</v>
      </c>
      <c r="U41" s="6">
        <f t="shared" si="3"/>
        <v>0.20654021338697542</v>
      </c>
      <c r="V41" s="6">
        <f>93.7952704431535/100</f>
        <v>0.937952704431535</v>
      </c>
      <c r="W41">
        <v>35258.699999999997</v>
      </c>
      <c r="Y41">
        <v>1232654.2645418784</v>
      </c>
      <c r="Z41" s="15">
        <v>1E-3</v>
      </c>
    </row>
    <row r="42" spans="1:26" x14ac:dyDescent="0.2">
      <c r="A42" s="2">
        <v>37987</v>
      </c>
      <c r="B42">
        <v>132342128</v>
      </c>
      <c r="C42" s="3">
        <v>106.558637184353</v>
      </c>
      <c r="D42" s="18">
        <v>33607.199999999997</v>
      </c>
      <c r="E42" s="15">
        <v>0</v>
      </c>
      <c r="F42" s="15">
        <f t="shared" si="0"/>
        <v>4.5264323305234857</v>
      </c>
      <c r="G42">
        <f t="shared" si="1"/>
        <v>1241965.2831242573</v>
      </c>
      <c r="H42">
        <v>6.0941094560995852</v>
      </c>
      <c r="I42">
        <v>6.0930295128481378</v>
      </c>
      <c r="J42" s="6">
        <v>1.0799432514474461E-3</v>
      </c>
      <c r="K42" s="3">
        <v>5.0999999999999996</v>
      </c>
      <c r="L42" s="3">
        <f t="shared" si="4"/>
        <v>0.75536335290572842</v>
      </c>
      <c r="M42" s="3">
        <f t="shared" si="5"/>
        <v>-0.13333300000000037</v>
      </c>
      <c r="N42">
        <v>97.374269999999996</v>
      </c>
      <c r="O42">
        <f t="shared" si="6"/>
        <v>0.16600679189765274</v>
      </c>
      <c r="P42">
        <f t="shared" si="7"/>
        <v>-0.16600679189765274</v>
      </c>
      <c r="Q42">
        <v>0.10099758946076196</v>
      </c>
      <c r="R42">
        <v>85143530</v>
      </c>
      <c r="S42" s="13">
        <v>17798080</v>
      </c>
      <c r="T42" s="6">
        <f>68.7036/100</f>
        <v>0.68703599999999998</v>
      </c>
      <c r="U42" s="6">
        <f t="shared" si="3"/>
        <v>0.2090362004018391</v>
      </c>
      <c r="V42" s="6">
        <f>94.3384857933186/100</f>
        <v>0.94338485793318594</v>
      </c>
      <c r="W42">
        <v>33607.199999999997</v>
      </c>
      <c r="Y42">
        <v>1241965.2831242573</v>
      </c>
      <c r="Z42" s="15">
        <v>0</v>
      </c>
    </row>
    <row r="43" spans="1:26" x14ac:dyDescent="0.2">
      <c r="A43" s="2">
        <v>38078</v>
      </c>
      <c r="B43">
        <v>131912224</v>
      </c>
      <c r="C43" s="3">
        <v>106.231100268083</v>
      </c>
      <c r="D43" s="18">
        <v>33433.300000000003</v>
      </c>
      <c r="E43" s="15">
        <v>0</v>
      </c>
      <c r="F43" s="15">
        <f t="shared" si="0"/>
        <v>4.524179245305044</v>
      </c>
      <c r="G43">
        <f t="shared" si="1"/>
        <v>1241747.6959864725</v>
      </c>
      <c r="H43">
        <v>6.0940333628518477</v>
      </c>
      <c r="I43">
        <v>6.0944882796541089</v>
      </c>
      <c r="J43" s="6">
        <v>-4.5491680226117381E-4</v>
      </c>
      <c r="K43" s="3">
        <v>4.9333330000000002</v>
      </c>
      <c r="L43" s="3">
        <f t="shared" si="4"/>
        <v>-1.7519582933707454E-2</v>
      </c>
      <c r="M43" s="3">
        <f t="shared" si="5"/>
        <v>-0.16666699999999945</v>
      </c>
      <c r="N43">
        <v>97.245170000000002</v>
      </c>
      <c r="O43">
        <f t="shared" si="6"/>
        <v>-0.13258122499916455</v>
      </c>
      <c r="P43">
        <f t="shared" si="7"/>
        <v>0.13258122499916455</v>
      </c>
      <c r="Q43">
        <v>0.1054093384644835</v>
      </c>
      <c r="R43">
        <v>85112720</v>
      </c>
      <c r="S43" s="13">
        <v>18038740</v>
      </c>
      <c r="T43" s="6">
        <f>68.66581/100</f>
        <v>0.68665809999999994</v>
      </c>
      <c r="U43" s="6">
        <f t="shared" si="3"/>
        <v>0.2119394139912342</v>
      </c>
      <c r="V43" s="6">
        <f>94.2842025312637/100</f>
        <v>0.94284202531263706</v>
      </c>
      <c r="W43">
        <v>33433.300000000003</v>
      </c>
      <c r="Y43">
        <v>1241747.6959864725</v>
      </c>
      <c r="Z43" s="15">
        <v>0</v>
      </c>
    </row>
    <row r="44" spans="1:26" x14ac:dyDescent="0.2">
      <c r="A44" s="2">
        <v>38169</v>
      </c>
      <c r="B44">
        <v>132619872</v>
      </c>
      <c r="C44" s="3">
        <v>106.13956741473901</v>
      </c>
      <c r="D44" s="18">
        <v>32799.9</v>
      </c>
      <c r="E44" s="15">
        <v>0</v>
      </c>
      <c r="F44" s="15">
        <f t="shared" si="0"/>
        <v>4.5158725196411176</v>
      </c>
      <c r="G44">
        <f t="shared" si="1"/>
        <v>1249485.7029310241</v>
      </c>
      <c r="H44">
        <v>6.0967312911357885</v>
      </c>
      <c r="I44">
        <v>6.0959124345817024</v>
      </c>
      <c r="J44" s="6">
        <v>8.1885655408608926E-4</v>
      </c>
      <c r="K44" s="3">
        <v>4.9666670000000002</v>
      </c>
      <c r="L44" s="3">
        <f t="shared" si="4"/>
        <v>0.6231545240278743</v>
      </c>
      <c r="M44" s="3">
        <f t="shared" si="5"/>
        <v>3.3333999999999975E-2</v>
      </c>
      <c r="N44">
        <v>97.245170000000002</v>
      </c>
      <c r="O44">
        <f t="shared" si="6"/>
        <v>0</v>
      </c>
      <c r="P44">
        <f t="shared" si="7"/>
        <v>0</v>
      </c>
      <c r="Q44">
        <v>0.11144241340027457</v>
      </c>
      <c r="R44">
        <v>84946550</v>
      </c>
      <c r="S44" s="13">
        <v>18211180</v>
      </c>
      <c r="T44" s="6">
        <f>68.89429/100</f>
        <v>0.68894290000000002</v>
      </c>
      <c r="U44" s="6">
        <f t="shared" si="3"/>
        <v>0.21438398616541815</v>
      </c>
      <c r="V44" s="6">
        <f>94.815992150721/100</f>
        <v>0.94815992150721007</v>
      </c>
      <c r="W44">
        <v>32799.9</v>
      </c>
      <c r="Y44">
        <v>1249485.7029310241</v>
      </c>
      <c r="Z44" s="15">
        <v>0</v>
      </c>
    </row>
    <row r="45" spans="1:26" x14ac:dyDescent="0.2">
      <c r="A45" s="2">
        <v>38261</v>
      </c>
      <c r="B45">
        <v>132479824</v>
      </c>
      <c r="C45" s="3">
        <v>106.226204071384</v>
      </c>
      <c r="D45" s="18">
        <v>32394</v>
      </c>
      <c r="E45" s="15">
        <v>1E-3</v>
      </c>
      <c r="F45" s="15">
        <f t="shared" si="0"/>
        <v>4.5104645778548855</v>
      </c>
      <c r="G45">
        <f t="shared" si="1"/>
        <v>1247148.2451822674</v>
      </c>
      <c r="H45">
        <v>6.095918079972539</v>
      </c>
      <c r="I45">
        <v>6.0972849780591494</v>
      </c>
      <c r="J45" s="6">
        <v>-1.3668980866103908E-3</v>
      </c>
      <c r="K45" s="3">
        <v>4.733333</v>
      </c>
      <c r="L45" s="3">
        <f t="shared" si="4"/>
        <v>-0.18707358901935189</v>
      </c>
      <c r="M45" s="3">
        <f t="shared" si="5"/>
        <v>-0.23333400000000015</v>
      </c>
      <c r="N45">
        <v>97.697019999999995</v>
      </c>
      <c r="O45">
        <f t="shared" si="6"/>
        <v>0.46465032659204891</v>
      </c>
      <c r="P45">
        <f t="shared" si="7"/>
        <v>-0.46365032659204891</v>
      </c>
      <c r="Q45">
        <v>0.11908779630083058</v>
      </c>
      <c r="R45">
        <v>84786540</v>
      </c>
      <c r="S45" s="13">
        <v>18390250</v>
      </c>
      <c r="T45" s="6">
        <f>68.9968/100</f>
        <v>0.68996799999999991</v>
      </c>
      <c r="U45" s="6">
        <f t="shared" si="3"/>
        <v>0.21690058351243016</v>
      </c>
      <c r="V45" s="6">
        <f>94.7669340378909/100</f>
        <v>0.94766934037890904</v>
      </c>
      <c r="W45">
        <v>32394</v>
      </c>
      <c r="Y45">
        <v>1247148.2451822674</v>
      </c>
      <c r="Z45" s="15">
        <v>1E-3</v>
      </c>
    </row>
    <row r="46" spans="1:26" x14ac:dyDescent="0.2">
      <c r="A46" s="2">
        <v>38353</v>
      </c>
      <c r="B46">
        <v>132478824</v>
      </c>
      <c r="C46" s="3">
        <v>105.691889163141</v>
      </c>
      <c r="D46" s="18">
        <v>31691.599999999999</v>
      </c>
      <c r="E46" s="15">
        <v>1E-3</v>
      </c>
      <c r="F46" s="15">
        <f t="shared" si="0"/>
        <v>4.5009441657800737</v>
      </c>
      <c r="G46">
        <f t="shared" si="1"/>
        <v>1253443.6185118421</v>
      </c>
      <c r="H46">
        <v>6.0981048036154242</v>
      </c>
      <c r="I46">
        <v>6.0985894223000274</v>
      </c>
      <c r="J46" s="6">
        <v>-4.8461868460325519E-4</v>
      </c>
      <c r="K46" s="3">
        <v>4.733333</v>
      </c>
      <c r="L46" s="3">
        <f t="shared" si="4"/>
        <v>0.50478147677260743</v>
      </c>
      <c r="M46" s="3">
        <f t="shared" si="5"/>
        <v>0</v>
      </c>
      <c r="N46">
        <v>97.180359999999993</v>
      </c>
      <c r="O46">
        <f t="shared" si="6"/>
        <v>-0.52883905773175244</v>
      </c>
      <c r="P46">
        <f t="shared" si="7"/>
        <v>0.52983905773175244</v>
      </c>
      <c r="Q46">
        <v>0.12797703623635173</v>
      </c>
      <c r="R46">
        <v>84706760</v>
      </c>
      <c r="S46" s="13">
        <v>18481420</v>
      </c>
      <c r="T46" s="6">
        <f>69.09327/100</f>
        <v>0.69093270000000007</v>
      </c>
      <c r="U46" s="6">
        <f t="shared" si="3"/>
        <v>0.21818116995621128</v>
      </c>
      <c r="V46" s="6">
        <f>95.0607130940333/100</f>
        <v>0.950607130940333</v>
      </c>
      <c r="W46">
        <v>31691.599999999999</v>
      </c>
      <c r="Y46">
        <v>1253443.6185118421</v>
      </c>
      <c r="Z46" s="15">
        <v>1E-3</v>
      </c>
    </row>
    <row r="47" spans="1:26" x14ac:dyDescent="0.2">
      <c r="A47" s="2">
        <v>38443</v>
      </c>
      <c r="B47">
        <v>132835152</v>
      </c>
      <c r="C47" s="3">
        <v>105.161182165716</v>
      </c>
      <c r="D47" s="18">
        <v>29696.5</v>
      </c>
      <c r="E47" s="15">
        <v>1E-3</v>
      </c>
      <c r="F47" s="15">
        <f t="shared" si="0"/>
        <v>4.4727052668169494</v>
      </c>
      <c r="G47">
        <f t="shared" si="1"/>
        <v>1263157.6525135916</v>
      </c>
      <c r="H47">
        <v>6.1014575574784278</v>
      </c>
      <c r="I47">
        <v>6.0998084252066098</v>
      </c>
      <c r="J47" s="6">
        <v>1.6491322718179546E-3</v>
      </c>
      <c r="K47" s="3">
        <v>4.6333330000000004</v>
      </c>
      <c r="L47" s="3">
        <f t="shared" si="4"/>
        <v>0.77498771051884374</v>
      </c>
      <c r="M47" s="3">
        <f t="shared" si="5"/>
        <v>-9.9999999999999645E-2</v>
      </c>
      <c r="N47">
        <v>96.891040000000004</v>
      </c>
      <c r="O47">
        <f t="shared" si="6"/>
        <v>-0.29771447646416355</v>
      </c>
      <c r="P47">
        <f t="shared" si="7"/>
        <v>0.29871447646416355</v>
      </c>
      <c r="Q47">
        <v>0.13799840181543258</v>
      </c>
      <c r="R47">
        <v>84573900</v>
      </c>
      <c r="S47" s="13">
        <v>18581300</v>
      </c>
      <c r="T47" s="6">
        <f>69.32005/100</f>
        <v>0.6932005</v>
      </c>
      <c r="U47" s="6">
        <f t="shared" si="3"/>
        <v>0.21970489713729649</v>
      </c>
      <c r="V47" s="6">
        <f>95.5474746359668/100</f>
        <v>0.95547474635966789</v>
      </c>
      <c r="W47">
        <v>29696.5</v>
      </c>
      <c r="Y47">
        <v>1263157.6525135916</v>
      </c>
      <c r="Z47" s="15">
        <v>1E-3</v>
      </c>
    </row>
    <row r="48" spans="1:26" x14ac:dyDescent="0.2">
      <c r="A48" s="2">
        <v>38534</v>
      </c>
      <c r="B48">
        <v>133643328</v>
      </c>
      <c r="C48" s="3">
        <v>104.736218197144</v>
      </c>
      <c r="D48" s="18">
        <v>30164.7</v>
      </c>
      <c r="E48" s="15">
        <v>1E-3</v>
      </c>
      <c r="F48" s="15">
        <f t="shared" si="0"/>
        <v>4.4794990104416668</v>
      </c>
      <c r="G48">
        <f t="shared" si="1"/>
        <v>1275999.1748837486</v>
      </c>
      <c r="H48">
        <v>6.1058503935516395</v>
      </c>
      <c r="I48">
        <v>6.1009243417944932</v>
      </c>
      <c r="J48" s="6">
        <v>4.9260517571463325E-3</v>
      </c>
      <c r="K48" s="3">
        <v>4.5</v>
      </c>
      <c r="L48" s="3">
        <f t="shared" si="4"/>
        <v>1.0166207159180307</v>
      </c>
      <c r="M48" s="3">
        <f t="shared" si="5"/>
        <v>-0.13333300000000037</v>
      </c>
      <c r="N48">
        <v>96.569559999999996</v>
      </c>
      <c r="O48">
        <f t="shared" si="6"/>
        <v>-0.33179538582722223</v>
      </c>
      <c r="P48">
        <f t="shared" si="7"/>
        <v>0.33279538582722223</v>
      </c>
      <c r="Q48">
        <v>0.14914687254681003</v>
      </c>
      <c r="R48">
        <v>84465050</v>
      </c>
      <c r="S48" s="13">
        <v>18666550</v>
      </c>
      <c r="T48" s="6">
        <f>69.6067/100</f>
        <v>0.69606699999999999</v>
      </c>
      <c r="U48" s="6">
        <f t="shared" si="3"/>
        <v>0.22099732374514666</v>
      </c>
      <c r="V48" s="6">
        <f>96.2064502279643/100</f>
        <v>0.96206450227964302</v>
      </c>
      <c r="W48">
        <v>30164.7</v>
      </c>
      <c r="Y48">
        <v>1275999.1748837486</v>
      </c>
      <c r="Z48" s="15">
        <v>1E-3</v>
      </c>
    </row>
    <row r="49" spans="1:26" x14ac:dyDescent="0.2">
      <c r="A49" s="2">
        <v>38626</v>
      </c>
      <c r="B49">
        <v>133685728</v>
      </c>
      <c r="C49" s="3">
        <v>104.575146577944</v>
      </c>
      <c r="D49" s="18">
        <v>29550.799999999999</v>
      </c>
      <c r="E49" s="15">
        <v>1E-3</v>
      </c>
      <c r="F49" s="15">
        <f t="shared" si="0"/>
        <v>4.4705692426075476</v>
      </c>
      <c r="G49">
        <f t="shared" si="1"/>
        <v>1278369.9796237792</v>
      </c>
      <c r="H49">
        <v>6.1066565634117023</v>
      </c>
      <c r="I49">
        <v>6.1019205577869426</v>
      </c>
      <c r="J49" s="6">
        <v>4.7360056247596205E-3</v>
      </c>
      <c r="K49" s="3">
        <v>4.6666669999999986</v>
      </c>
      <c r="L49" s="3">
        <f t="shared" si="4"/>
        <v>0.18579986466265125</v>
      </c>
      <c r="M49" s="3">
        <f t="shared" si="5"/>
        <v>0.16666699999999857</v>
      </c>
      <c r="N49">
        <v>96.7303</v>
      </c>
      <c r="O49">
        <f t="shared" si="6"/>
        <v>0.16644996622124417</v>
      </c>
      <c r="P49">
        <f t="shared" si="7"/>
        <v>-0.16544996622124417</v>
      </c>
      <c r="Q49">
        <v>0.16153917605422841</v>
      </c>
      <c r="R49">
        <v>84263880</v>
      </c>
      <c r="S49" s="13">
        <v>18752830</v>
      </c>
      <c r="T49" s="6">
        <f>69.46828/100</f>
        <v>0.69468279999999993</v>
      </c>
      <c r="U49" s="6">
        <f t="shared" si="3"/>
        <v>0.22254885485928252</v>
      </c>
      <c r="V49" s="6">
        <f>96.6350719905896/100</f>
        <v>0.96635071990589594</v>
      </c>
      <c r="W49">
        <v>29550.799999999999</v>
      </c>
      <c r="Y49">
        <v>1278369.9796237792</v>
      </c>
      <c r="Z49" s="15">
        <v>1E-3</v>
      </c>
    </row>
    <row r="50" spans="1:26" x14ac:dyDescent="0.2">
      <c r="A50" s="2">
        <v>38718</v>
      </c>
      <c r="B50">
        <v>133641848</v>
      </c>
      <c r="C50" s="3">
        <v>104.385412878933</v>
      </c>
      <c r="D50" s="18">
        <v>30334.5</v>
      </c>
      <c r="E50" s="15">
        <v>1E-3</v>
      </c>
      <c r="F50" s="15">
        <f t="shared" si="0"/>
        <v>4.4819368409141349</v>
      </c>
      <c r="G50">
        <f t="shared" si="1"/>
        <v>1280273.2136050353</v>
      </c>
      <c r="H50">
        <v>6.1073026591005934</v>
      </c>
      <c r="I50">
        <v>6.1027835376895725</v>
      </c>
      <c r="J50" s="6">
        <v>4.5191214110209543E-3</v>
      </c>
      <c r="K50" s="3">
        <v>4.4000000000000004</v>
      </c>
      <c r="L50" s="3">
        <f t="shared" si="4"/>
        <v>0.14887974620745217</v>
      </c>
      <c r="M50" s="3">
        <f t="shared" si="5"/>
        <v>-0.26666699999999821</v>
      </c>
      <c r="N50">
        <v>97.051770000000005</v>
      </c>
      <c r="O50">
        <f t="shared" si="6"/>
        <v>0.33233640338136555</v>
      </c>
      <c r="P50">
        <f t="shared" si="7"/>
        <v>-0.33133640338136555</v>
      </c>
      <c r="Q50">
        <v>0.17509541693720196</v>
      </c>
      <c r="R50">
        <v>84194050</v>
      </c>
      <c r="S50" s="13">
        <v>18786450</v>
      </c>
      <c r="T50" s="6">
        <f>69.82282/100</f>
        <v>0.69822819999999997</v>
      </c>
      <c r="U50" s="6">
        <f t="shared" si="3"/>
        <v>0.22313275106732602</v>
      </c>
      <c r="V50" s="6">
        <f>96.5251226522869/100</f>
        <v>0.96525122652286899</v>
      </c>
      <c r="W50">
        <v>30334.5</v>
      </c>
      <c r="Y50">
        <v>1280273.2136050353</v>
      </c>
      <c r="Z50" s="15">
        <v>1E-3</v>
      </c>
    </row>
    <row r="51" spans="1:26" x14ac:dyDescent="0.2">
      <c r="A51" s="2">
        <v>38808</v>
      </c>
      <c r="B51">
        <v>133496224</v>
      </c>
      <c r="C51" s="3">
        <v>104.11703138476</v>
      </c>
      <c r="D51" s="18">
        <v>29165.4</v>
      </c>
      <c r="E51" s="15">
        <v>2E-3</v>
      </c>
      <c r="F51" s="15">
        <f t="shared" si="0"/>
        <v>4.4648679371041613</v>
      </c>
      <c r="G51">
        <f t="shared" si="1"/>
        <v>1282174.7049881825</v>
      </c>
      <c r="H51">
        <v>6.1079472047794914</v>
      </c>
      <c r="I51">
        <v>6.1035027060115112</v>
      </c>
      <c r="J51" s="6">
        <v>4.4444987679801429E-3</v>
      </c>
      <c r="K51" s="3">
        <v>4.3333330000000014</v>
      </c>
      <c r="L51" s="3">
        <f t="shared" si="4"/>
        <v>0.14852231249866671</v>
      </c>
      <c r="M51" s="3">
        <f t="shared" si="5"/>
        <v>-6.6666999999998922E-2</v>
      </c>
      <c r="N51">
        <v>97.019620000000003</v>
      </c>
      <c r="O51">
        <f t="shared" si="6"/>
        <v>-3.3126649828232345E-2</v>
      </c>
      <c r="P51">
        <f t="shared" si="7"/>
        <v>3.5126649828232347E-2</v>
      </c>
      <c r="Q51">
        <v>0.18942765255809768</v>
      </c>
      <c r="R51">
        <v>84053480</v>
      </c>
      <c r="S51" s="13">
        <v>18818210</v>
      </c>
      <c r="T51" s="6">
        <f>69.98719/100</f>
        <v>0.69987189999999999</v>
      </c>
      <c r="U51" s="6">
        <f t="shared" si="3"/>
        <v>0.22388377019012182</v>
      </c>
      <c r="V51" s="6">
        <f>96.7120515186759/100</f>
        <v>0.96712051518675901</v>
      </c>
      <c r="W51">
        <v>29165.4</v>
      </c>
      <c r="Y51">
        <v>1282174.7049881825</v>
      </c>
      <c r="Z51" s="15">
        <v>2E-3</v>
      </c>
    </row>
    <row r="52" spans="1:26" x14ac:dyDescent="0.2">
      <c r="A52" s="2">
        <v>38899</v>
      </c>
      <c r="B52">
        <v>133057296</v>
      </c>
      <c r="C52" s="3">
        <v>103.980171908746</v>
      </c>
      <c r="D52" s="18">
        <v>27581.9</v>
      </c>
      <c r="E52" s="15">
        <v>0.155</v>
      </c>
      <c r="F52" s="15">
        <f t="shared" si="0"/>
        <v>4.440624179573482</v>
      </c>
      <c r="G52">
        <f t="shared" si="1"/>
        <v>1279641.0465331059</v>
      </c>
      <c r="H52">
        <v>6.1070881623255762</v>
      </c>
      <c r="I52">
        <v>6.1040703117127695</v>
      </c>
      <c r="J52" s="6">
        <v>3.0178506128066829E-3</v>
      </c>
      <c r="K52" s="3">
        <v>4.3</v>
      </c>
      <c r="L52" s="3">
        <f t="shared" si="4"/>
        <v>-0.1976063359555966</v>
      </c>
      <c r="M52" s="3">
        <f t="shared" si="5"/>
        <v>-3.3333000000001611E-2</v>
      </c>
      <c r="N52">
        <v>97.148219999999995</v>
      </c>
      <c r="O52">
        <f t="shared" si="6"/>
        <v>0.13255050885582897</v>
      </c>
      <c r="P52">
        <f t="shared" si="7"/>
        <v>2.2449491144171024E-2</v>
      </c>
      <c r="Q52">
        <v>0.20406045979983947</v>
      </c>
      <c r="R52">
        <v>83858930</v>
      </c>
      <c r="S52" s="13">
        <v>18820730</v>
      </c>
      <c r="T52" s="6">
        <f>70.1098/100</f>
        <v>0.70109800000000011</v>
      </c>
      <c r="U52" s="6">
        <f t="shared" si="3"/>
        <v>0.22443322374850239</v>
      </c>
      <c r="V52" s="6">
        <f>96.1523398652749/100</f>
        <v>0.96152339865274894</v>
      </c>
      <c r="W52">
        <v>27581.9</v>
      </c>
      <c r="Y52">
        <v>1279641.0465331059</v>
      </c>
      <c r="Z52" s="15">
        <v>0.155</v>
      </c>
    </row>
    <row r="53" spans="1:26" x14ac:dyDescent="0.2">
      <c r="A53" s="2">
        <v>38991</v>
      </c>
      <c r="B53">
        <v>134980480</v>
      </c>
      <c r="C53" s="3">
        <v>104.060485319739</v>
      </c>
      <c r="D53" s="18">
        <v>28009.5</v>
      </c>
      <c r="E53" s="15">
        <v>0.254</v>
      </c>
      <c r="F53" s="15">
        <f t="shared" si="0"/>
        <v>4.447305356264514</v>
      </c>
      <c r="G53">
        <f t="shared" si="1"/>
        <v>1297134.8306252407</v>
      </c>
      <c r="H53">
        <v>6.1129851211520192</v>
      </c>
      <c r="I53">
        <v>6.1044813815650869</v>
      </c>
      <c r="J53" s="6">
        <v>8.5037395869322907E-3</v>
      </c>
      <c r="K53" s="3">
        <v>4.233333</v>
      </c>
      <c r="L53" s="3">
        <f t="shared" si="4"/>
        <v>1.3670852571922567</v>
      </c>
      <c r="M53" s="3">
        <f t="shared" si="5"/>
        <v>-6.666699999999981E-2</v>
      </c>
      <c r="N53">
        <v>97.051770000000005</v>
      </c>
      <c r="O53">
        <f t="shared" si="6"/>
        <v>-9.9281283794999203E-2</v>
      </c>
      <c r="P53">
        <f t="shared" si="7"/>
        <v>0.35328128379499923</v>
      </c>
      <c r="Q53">
        <v>0.21841405419446749</v>
      </c>
      <c r="R53">
        <v>83670140</v>
      </c>
      <c r="S53" s="13">
        <v>18847880</v>
      </c>
      <c r="T53" s="6">
        <f>70.22019/100</f>
        <v>0.70220190000000005</v>
      </c>
      <c r="U53" s="6">
        <f t="shared" si="3"/>
        <v>0.22526411453357195</v>
      </c>
      <c r="V53" s="6">
        <f>97.2215257456557/100</f>
        <v>0.97221525745655701</v>
      </c>
      <c r="W53">
        <v>28009.5</v>
      </c>
      <c r="Y53">
        <v>1297134.8306252407</v>
      </c>
      <c r="Z53" s="15">
        <v>0.254</v>
      </c>
    </row>
    <row r="54" spans="1:26" x14ac:dyDescent="0.2">
      <c r="A54" s="2">
        <v>39083</v>
      </c>
      <c r="B54">
        <v>135495680</v>
      </c>
      <c r="C54" s="3">
        <v>103.78711884190101</v>
      </c>
      <c r="D54" s="18">
        <v>27791.4</v>
      </c>
      <c r="E54" s="15">
        <v>0.26700000000000002</v>
      </c>
      <c r="F54" s="15">
        <f t="shared" si="0"/>
        <v>4.4439104250414951</v>
      </c>
      <c r="G54">
        <f t="shared" si="1"/>
        <v>1305515.3810214221</v>
      </c>
      <c r="H54">
        <v>6.1157819928601347</v>
      </c>
      <c r="I54">
        <v>6.1047328284968367</v>
      </c>
      <c r="J54" s="6">
        <v>1.1049164363297947E-2</v>
      </c>
      <c r="K54" s="3">
        <v>4.2</v>
      </c>
      <c r="L54" s="3">
        <f t="shared" si="4"/>
        <v>0.64608167156700624</v>
      </c>
      <c r="M54" s="3">
        <f t="shared" si="5"/>
        <v>-3.3332999999999835E-2</v>
      </c>
      <c r="N54">
        <v>96.987480000000005</v>
      </c>
      <c r="O54">
        <f t="shared" si="6"/>
        <v>-6.624299587735466E-2</v>
      </c>
      <c r="P54">
        <f t="shared" si="7"/>
        <v>0.33324299587735468</v>
      </c>
      <c r="Q54">
        <v>0.23200191428901892</v>
      </c>
      <c r="R54">
        <v>83421550</v>
      </c>
      <c r="S54" s="13">
        <v>18927640</v>
      </c>
      <c r="T54" s="6">
        <f>70.43744/100</f>
        <v>0.70437439999999996</v>
      </c>
      <c r="U54" s="6">
        <f t="shared" si="3"/>
        <v>0.22689149266586392</v>
      </c>
      <c r="V54" s="6">
        <f>97.9456994373006/100</f>
        <v>0.97945699437300604</v>
      </c>
      <c r="W54">
        <v>27791.4</v>
      </c>
      <c r="Y54">
        <v>1305515.3810214221</v>
      </c>
      <c r="Z54" s="15">
        <v>0.26700000000000002</v>
      </c>
    </row>
    <row r="55" spans="1:26" x14ac:dyDescent="0.2">
      <c r="A55" s="2">
        <v>39173</v>
      </c>
      <c r="B55">
        <v>135507232</v>
      </c>
      <c r="C55" s="3">
        <v>103.760851489896</v>
      </c>
      <c r="D55" s="18">
        <v>27145.9</v>
      </c>
      <c r="E55" s="15">
        <v>0.51100000000000001</v>
      </c>
      <c r="F55" s="15">
        <f t="shared" si="0"/>
        <v>4.4337042449069397</v>
      </c>
      <c r="G55">
        <f t="shared" si="1"/>
        <v>1305957.2088534315</v>
      </c>
      <c r="H55">
        <v>6.1159289470284213</v>
      </c>
      <c r="I55">
        <v>6.1048268802736354</v>
      </c>
      <c r="J55" s="6">
        <v>1.1102066754785866E-2</v>
      </c>
      <c r="K55" s="3">
        <v>3.9</v>
      </c>
      <c r="L55" s="3">
        <f t="shared" si="4"/>
        <v>3.3843173235058234E-2</v>
      </c>
      <c r="M55" s="3">
        <f t="shared" si="5"/>
        <v>-0.30000000000000027</v>
      </c>
      <c r="N55">
        <v>96.987480000000005</v>
      </c>
      <c r="O55">
        <f t="shared" si="6"/>
        <v>0</v>
      </c>
      <c r="P55">
        <f t="shared" si="7"/>
        <v>0.51100000000000001</v>
      </c>
      <c r="Q55">
        <v>0.24440928671908277</v>
      </c>
      <c r="R55">
        <v>83336390</v>
      </c>
      <c r="S55" s="13">
        <v>18940470</v>
      </c>
      <c r="T55" s="6">
        <f>70.9254/100</f>
        <v>0.70925399999999994</v>
      </c>
      <c r="U55" s="6">
        <f t="shared" si="3"/>
        <v>0.22727730346850877</v>
      </c>
      <c r="V55" s="6">
        <f>97.4746577933599/100</f>
        <v>0.97474657793359898</v>
      </c>
      <c r="W55">
        <v>27145.9</v>
      </c>
      <c r="Y55">
        <v>1305957.2088534315</v>
      </c>
      <c r="Z55" s="15">
        <v>0.51100000000000001</v>
      </c>
    </row>
    <row r="56" spans="1:26" x14ac:dyDescent="0.2">
      <c r="A56" s="2">
        <v>39264</v>
      </c>
      <c r="B56">
        <v>134119504</v>
      </c>
      <c r="C56" s="3">
        <v>103.256383330456</v>
      </c>
      <c r="D56" s="18">
        <v>26755.7</v>
      </c>
      <c r="E56" s="15">
        <v>0.499</v>
      </c>
      <c r="F56" s="15">
        <f t="shared" si="0"/>
        <v>4.4274163177531998</v>
      </c>
      <c r="G56">
        <f t="shared" si="1"/>
        <v>1298897.9438759866</v>
      </c>
      <c r="H56">
        <v>6.1135750293234565</v>
      </c>
      <c r="I56">
        <v>6.1047726703888276</v>
      </c>
      <c r="J56" s="6">
        <v>8.8023589346288844E-3</v>
      </c>
      <c r="K56" s="3">
        <v>3.9</v>
      </c>
      <c r="L56" s="3">
        <f t="shared" si="4"/>
        <v>-0.54054336004183434</v>
      </c>
      <c r="M56" s="3">
        <f t="shared" si="5"/>
        <v>0</v>
      </c>
      <c r="N56">
        <v>97.019620000000003</v>
      </c>
      <c r="O56">
        <f t="shared" si="6"/>
        <v>3.3138297850401184E-2</v>
      </c>
      <c r="P56">
        <f t="shared" si="7"/>
        <v>0.46586170214959882</v>
      </c>
      <c r="Q56">
        <v>0.25539579192381745</v>
      </c>
      <c r="R56">
        <v>83098210</v>
      </c>
      <c r="S56" s="13">
        <v>18941720</v>
      </c>
      <c r="T56" s="6">
        <f>70.79575/100</f>
        <v>0.70795750000000002</v>
      </c>
      <c r="U56" s="6">
        <f t="shared" si="3"/>
        <v>0.22794377881304542</v>
      </c>
      <c r="V56" s="6">
        <f>97.1525101536601/100</f>
        <v>0.97152510153660099</v>
      </c>
      <c r="W56">
        <v>26755.7</v>
      </c>
      <c r="Y56">
        <v>1298897.9438759866</v>
      </c>
      <c r="Z56" s="15">
        <v>0.499</v>
      </c>
    </row>
    <row r="57" spans="1:26" x14ac:dyDescent="0.2">
      <c r="A57" s="2">
        <v>39356</v>
      </c>
      <c r="B57">
        <v>134205848</v>
      </c>
      <c r="C57" s="3">
        <v>102.858381076022</v>
      </c>
      <c r="D57" s="18">
        <v>27315.5</v>
      </c>
      <c r="E57" s="15">
        <v>0.50600000000000001</v>
      </c>
      <c r="F57" s="15">
        <f t="shared" si="0"/>
        <v>4.4364091545212414</v>
      </c>
      <c r="G57">
        <f t="shared" si="1"/>
        <v>1304763.3707243484</v>
      </c>
      <c r="H57">
        <v>6.1155317560368294</v>
      </c>
      <c r="I57">
        <v>6.104586271127479</v>
      </c>
      <c r="J57" s="6">
        <v>1.0945484909350434E-2</v>
      </c>
      <c r="K57" s="3">
        <v>4.0333329999999998</v>
      </c>
      <c r="L57" s="3">
        <f t="shared" si="4"/>
        <v>0.45156949212337361</v>
      </c>
      <c r="M57" s="3">
        <f t="shared" si="5"/>
        <v>0.13333299999999992</v>
      </c>
      <c r="N57">
        <v>97.566119999999998</v>
      </c>
      <c r="O57">
        <f t="shared" si="6"/>
        <v>0.56328812666963102</v>
      </c>
      <c r="P57">
        <f t="shared" si="7"/>
        <v>-5.7288126669631012E-2</v>
      </c>
      <c r="Q57">
        <v>0.26485945810202544</v>
      </c>
      <c r="R57">
        <v>83014850</v>
      </c>
      <c r="S57" s="13">
        <v>18977920</v>
      </c>
      <c r="T57" s="6">
        <f>70.92707/100</f>
        <v>0.70927070000000003</v>
      </c>
      <c r="U57" s="6">
        <f t="shared" si="3"/>
        <v>0.22860873687057195</v>
      </c>
      <c r="V57" s="6">
        <f>97.3923777313544/100</f>
        <v>0.97392377731354396</v>
      </c>
      <c r="W57">
        <v>27315.5</v>
      </c>
      <c r="Y57">
        <v>1304763.3707243484</v>
      </c>
      <c r="Z57" s="15">
        <v>0.50600000000000001</v>
      </c>
    </row>
    <row r="58" spans="1:26" x14ac:dyDescent="0.2">
      <c r="A58" s="2">
        <v>39448</v>
      </c>
      <c r="B58">
        <v>134407024</v>
      </c>
      <c r="C58" s="3">
        <v>102.63892121023299</v>
      </c>
      <c r="D58" s="18">
        <v>26626.799999999999</v>
      </c>
      <c r="E58" s="15">
        <v>0.502</v>
      </c>
      <c r="F58" s="15">
        <f t="shared" si="0"/>
        <v>4.4253189762080689</v>
      </c>
      <c r="G58">
        <f t="shared" si="1"/>
        <v>1309513.2179409517</v>
      </c>
      <c r="H58">
        <v>6.1171098864572002</v>
      </c>
      <c r="I58">
        <v>6.1042892562489897</v>
      </c>
      <c r="J58" s="6">
        <v>1.2820630208210559E-2</v>
      </c>
      <c r="K58" s="3">
        <v>4.0999999999999996</v>
      </c>
      <c r="L58" s="3">
        <f t="shared" si="4"/>
        <v>0.36403897619891307</v>
      </c>
      <c r="M58" s="3">
        <f t="shared" si="5"/>
        <v>6.666699999999981E-2</v>
      </c>
      <c r="N58">
        <v>97.887600000000006</v>
      </c>
      <c r="O58">
        <f t="shared" si="6"/>
        <v>0.32949962548475659</v>
      </c>
      <c r="P58">
        <f t="shared" si="7"/>
        <v>0.17250037451524342</v>
      </c>
      <c r="Q58">
        <v>0.27250288600338829</v>
      </c>
      <c r="R58">
        <v>82861980</v>
      </c>
      <c r="S58" s="13">
        <v>18899080</v>
      </c>
      <c r="T58" s="6">
        <f>70.7723/100</f>
        <v>0.70772299999999999</v>
      </c>
      <c r="U58" s="6">
        <f t="shared" si="3"/>
        <v>0.2280790297311264</v>
      </c>
      <c r="V58" s="6">
        <f>98.1003627978249/100</f>
        <v>0.98100362797824903</v>
      </c>
      <c r="W58">
        <v>26626.799999999999</v>
      </c>
      <c r="Y58">
        <v>1309513.2179409517</v>
      </c>
      <c r="Z58" s="15">
        <v>0.502</v>
      </c>
    </row>
    <row r="59" spans="1:26" x14ac:dyDescent="0.2">
      <c r="A59" s="2">
        <v>39539</v>
      </c>
      <c r="B59">
        <v>133397048</v>
      </c>
      <c r="C59" s="3">
        <v>102.488341865845</v>
      </c>
      <c r="D59" s="18">
        <v>25698.5</v>
      </c>
      <c r="E59" s="15">
        <v>0.50600000000000001</v>
      </c>
      <c r="F59" s="15">
        <f t="shared" si="0"/>
        <v>4.4099077746645801</v>
      </c>
      <c r="G59">
        <f t="shared" si="1"/>
        <v>1301582.6539043223</v>
      </c>
      <c r="H59">
        <v>6.114471752156958</v>
      </c>
      <c r="I59">
        <v>6.1039100404408284</v>
      </c>
      <c r="J59" s="6">
        <v>1.0561711716129629E-2</v>
      </c>
      <c r="K59" s="3">
        <v>4.0999999999999996</v>
      </c>
      <c r="L59" s="3">
        <f t="shared" si="4"/>
        <v>-0.60561160650972512</v>
      </c>
      <c r="M59" s="3">
        <f t="shared" si="5"/>
        <v>0</v>
      </c>
      <c r="N59">
        <v>98.305499999999995</v>
      </c>
      <c r="O59">
        <f t="shared" si="6"/>
        <v>0.42691822048961137</v>
      </c>
      <c r="P59">
        <f t="shared" si="7"/>
        <v>7.9081779510388639E-2</v>
      </c>
      <c r="Q59">
        <v>0.27797095195034588</v>
      </c>
      <c r="R59">
        <v>82770200</v>
      </c>
      <c r="S59" s="13">
        <v>18923420</v>
      </c>
      <c r="T59" s="6">
        <f>70.94743/100</f>
        <v>0.7094743</v>
      </c>
      <c r="U59" s="6">
        <f t="shared" si="3"/>
        <v>0.22862600307840261</v>
      </c>
      <c r="V59" s="6">
        <f>97.3575868858173/100</f>
        <v>0.97357586885817293</v>
      </c>
      <c r="W59">
        <v>25698.5</v>
      </c>
      <c r="Y59">
        <v>1301582.6539043223</v>
      </c>
      <c r="Z59" s="15">
        <v>0.50600000000000001</v>
      </c>
    </row>
    <row r="60" spans="1:26" x14ac:dyDescent="0.2">
      <c r="A60" s="2">
        <v>39630</v>
      </c>
      <c r="B60">
        <v>130807504</v>
      </c>
      <c r="C60" s="3">
        <v>101.760338155502</v>
      </c>
      <c r="D60" s="18">
        <v>25614.3</v>
      </c>
      <c r="E60" s="15">
        <v>0.503</v>
      </c>
      <c r="F60" s="15">
        <f t="shared" si="0"/>
        <v>4.4084824917645236</v>
      </c>
      <c r="G60">
        <f t="shared" si="1"/>
        <v>1285446.8290004153</v>
      </c>
      <c r="H60">
        <v>6.1090541172688102</v>
      </c>
      <c r="I60">
        <v>6.1034850512843439</v>
      </c>
      <c r="J60" s="6">
        <v>5.5690659844662704E-3</v>
      </c>
      <c r="K60" s="3">
        <v>4.1666669999999986</v>
      </c>
      <c r="L60" s="3">
        <f t="shared" si="4"/>
        <v>-1.2397080473917521</v>
      </c>
      <c r="M60" s="3">
        <f t="shared" si="5"/>
        <v>6.6666999999998922E-2</v>
      </c>
      <c r="N60">
        <v>99.141329999999996</v>
      </c>
      <c r="O60">
        <f t="shared" si="6"/>
        <v>0.85023727054946208</v>
      </c>
      <c r="P60">
        <f t="shared" si="7"/>
        <v>-0.34723727054946207</v>
      </c>
      <c r="Q60">
        <v>0.28078764407377993</v>
      </c>
      <c r="R60">
        <v>82543090</v>
      </c>
      <c r="S60" s="13">
        <v>18891380</v>
      </c>
      <c r="T60" s="6">
        <f>70.84381/100</f>
        <v>0.70843810000000007</v>
      </c>
      <c r="U60" s="6">
        <f t="shared" si="3"/>
        <v>0.22886688637413502</v>
      </c>
      <c r="V60" s="6">
        <f>96.5569183363691/100</f>
        <v>0.96556918336369091</v>
      </c>
      <c r="W60">
        <v>25614.3</v>
      </c>
      <c r="Y60">
        <v>1285446.8290004153</v>
      </c>
      <c r="Z60" s="15">
        <v>0.503</v>
      </c>
    </row>
    <row r="61" spans="1:26" x14ac:dyDescent="0.2">
      <c r="A61" s="2">
        <v>39722</v>
      </c>
      <c r="B61">
        <v>129230224</v>
      </c>
      <c r="C61" s="3">
        <v>103.06682804406201</v>
      </c>
      <c r="D61" s="18">
        <v>25559</v>
      </c>
      <c r="E61" s="15">
        <v>0.48699999999999999</v>
      </c>
      <c r="F61" s="15">
        <f t="shared" si="0"/>
        <v>4.4075438579770623</v>
      </c>
      <c r="G61">
        <f t="shared" si="1"/>
        <v>1253848.8517833585</v>
      </c>
      <c r="H61">
        <v>6.0982451865801721</v>
      </c>
      <c r="I61">
        <v>6.1030573174307081</v>
      </c>
      <c r="J61" s="6">
        <v>-4.8121308505360005E-3</v>
      </c>
      <c r="K61" s="3">
        <v>4.266667</v>
      </c>
      <c r="L61" s="11">
        <f t="shared" si="4"/>
        <v>-2.4581317954339581</v>
      </c>
      <c r="M61" s="11">
        <f t="shared" si="5"/>
        <v>0.10000000000000142</v>
      </c>
      <c r="N61">
        <v>98.594830000000002</v>
      </c>
      <c r="O61">
        <f t="shared" si="6"/>
        <v>-0.55123327476037964</v>
      </c>
      <c r="P61">
        <f t="shared" si="7"/>
        <v>1.0382332747603797</v>
      </c>
      <c r="Q61">
        <v>0.28008619536550977</v>
      </c>
      <c r="R61">
        <v>82352370</v>
      </c>
      <c r="S61" s="13">
        <v>18812930</v>
      </c>
      <c r="T61" s="6">
        <f>70.91073/100</f>
        <v>0.7091073</v>
      </c>
      <c r="U61" s="6">
        <f t="shared" si="3"/>
        <v>0.22844430585300701</v>
      </c>
      <c r="V61" s="6">
        <f>94.1759434948502/100</f>
        <v>0.94175943494850201</v>
      </c>
      <c r="W61">
        <v>25559</v>
      </c>
      <c r="Y61">
        <v>1253848.8517833585</v>
      </c>
      <c r="Z61" s="15">
        <v>0.48699999999999999</v>
      </c>
    </row>
    <row r="62" spans="1:26" x14ac:dyDescent="0.2">
      <c r="A62" s="2">
        <v>39814</v>
      </c>
      <c r="B62">
        <v>123054648</v>
      </c>
      <c r="C62" s="3">
        <v>103.127011099653</v>
      </c>
      <c r="D62" s="18">
        <v>26345.9</v>
      </c>
      <c r="E62" s="15">
        <v>0.12</v>
      </c>
      <c r="F62" s="15">
        <f t="shared" si="0"/>
        <v>4.4207130390582652</v>
      </c>
      <c r="G62">
        <f t="shared" si="1"/>
        <v>1193233.922789546</v>
      </c>
      <c r="H62">
        <v>6.0767255915479632</v>
      </c>
      <c r="I62">
        <v>6.1026733481973343</v>
      </c>
      <c r="J62" s="6">
        <v>-2.5947756649371101E-2</v>
      </c>
      <c r="K62" s="3">
        <v>4.8</v>
      </c>
      <c r="L62" s="11">
        <f t="shared" si="4"/>
        <v>-4.8343090881807216</v>
      </c>
      <c r="M62" s="11">
        <f t="shared" si="5"/>
        <v>0.53333299999999983</v>
      </c>
      <c r="N62">
        <v>97.694710000000001</v>
      </c>
      <c r="O62" s="17">
        <f t="shared" si="6"/>
        <v>-0.91294847813014246</v>
      </c>
      <c r="P62">
        <f t="shared" si="7"/>
        <v>1.0329484781301423</v>
      </c>
      <c r="Q62">
        <v>0.27547324233653392</v>
      </c>
      <c r="R62">
        <v>82145330</v>
      </c>
      <c r="S62" s="13">
        <v>18714350</v>
      </c>
      <c r="T62" s="6">
        <f>70.52541/100</f>
        <v>0.70525409999999988</v>
      </c>
      <c r="U62" s="6">
        <f t="shared" si="3"/>
        <v>0.2278200111923587</v>
      </c>
      <c r="V62" s="6">
        <f>90.1052218220541/100</f>
        <v>0.90105221822054105</v>
      </c>
      <c r="W62">
        <v>26345.9</v>
      </c>
      <c r="Y62">
        <v>1193233.922789546</v>
      </c>
      <c r="Z62" s="15">
        <v>0.12</v>
      </c>
    </row>
    <row r="63" spans="1:26" x14ac:dyDescent="0.2">
      <c r="A63" s="2">
        <v>39904</v>
      </c>
      <c r="B63">
        <v>124463424</v>
      </c>
      <c r="C63" s="3">
        <v>102.28546859369</v>
      </c>
      <c r="D63" s="18">
        <v>28355.200000000001</v>
      </c>
      <c r="E63" s="15">
        <v>0.104</v>
      </c>
      <c r="F63" s="15">
        <f t="shared" si="0"/>
        <v>4.4526327148768239</v>
      </c>
      <c r="G63">
        <f t="shared" si="1"/>
        <v>1216824.10718973</v>
      </c>
      <c r="H63">
        <v>6.0852278051834725</v>
      </c>
      <c r="I63">
        <v>6.1023766453198531</v>
      </c>
      <c r="J63" s="6">
        <v>-1.7148840136380628E-2</v>
      </c>
      <c r="K63" s="3">
        <v>5.3333330000000014</v>
      </c>
      <c r="L63" s="3">
        <f t="shared" si="4"/>
        <v>1.9769957884733007</v>
      </c>
      <c r="M63" s="3">
        <f t="shared" si="5"/>
        <v>0.53333300000000161</v>
      </c>
      <c r="N63">
        <v>97.276799999999994</v>
      </c>
      <c r="O63">
        <f t="shared" si="6"/>
        <v>-0.42777137063000259</v>
      </c>
      <c r="P63">
        <f t="shared" si="7"/>
        <v>0.53177137063000257</v>
      </c>
      <c r="Q63">
        <v>0.26702596042457877</v>
      </c>
      <c r="R63">
        <v>81999950</v>
      </c>
      <c r="S63" s="13">
        <v>18679410</v>
      </c>
      <c r="T63" s="6">
        <f>70.0285/100</f>
        <v>0.70028499999999994</v>
      </c>
      <c r="U63" s="6">
        <f t="shared" si="3"/>
        <v>0.22779782182794014</v>
      </c>
      <c r="V63" s="6">
        <f>92.7058553846042/100</f>
        <v>0.92705855384604208</v>
      </c>
      <c r="W63">
        <v>28355.200000000001</v>
      </c>
      <c r="Y63">
        <v>1216824.10718973</v>
      </c>
      <c r="Z63" s="15">
        <v>0.104</v>
      </c>
    </row>
    <row r="64" spans="1:26" x14ac:dyDescent="0.2">
      <c r="A64" s="2">
        <v>39995</v>
      </c>
      <c r="B64">
        <v>123408472</v>
      </c>
      <c r="C64" s="3">
        <v>101.462418087402</v>
      </c>
      <c r="D64" s="18">
        <v>27874.6</v>
      </c>
      <c r="E64" s="15">
        <v>0.10199999999999999</v>
      </c>
      <c r="F64" s="15">
        <f t="shared" si="0"/>
        <v>4.4452086439830625</v>
      </c>
      <c r="G64">
        <f t="shared" si="1"/>
        <v>1216297.3673039526</v>
      </c>
      <c r="H64">
        <v>6.0850397667055223</v>
      </c>
      <c r="I64">
        <v>6.1021944931859888</v>
      </c>
      <c r="J64" s="6">
        <v>-1.7154726480466564E-2</v>
      </c>
      <c r="K64" s="3">
        <v>5.6666669999999986</v>
      </c>
      <c r="L64" s="3">
        <f t="shared" si="4"/>
        <v>-4.3288087626237121E-2</v>
      </c>
      <c r="M64" s="3">
        <f t="shared" si="5"/>
        <v>0.33333399999999713</v>
      </c>
      <c r="N64">
        <v>96.987480000000005</v>
      </c>
      <c r="O64">
        <f t="shared" si="6"/>
        <v>-0.29741932300403529</v>
      </c>
      <c r="P64">
        <f t="shared" si="7"/>
        <v>0.39941932300403526</v>
      </c>
      <c r="Q64">
        <v>0.2549817113975541</v>
      </c>
      <c r="R64">
        <v>81915290</v>
      </c>
      <c r="S64" s="13">
        <v>18683990</v>
      </c>
      <c r="T64" s="6">
        <f>70.06018/100</f>
        <v>0.70060180000000005</v>
      </c>
      <c r="U64" s="6">
        <f t="shared" si="3"/>
        <v>0.22808916381789041</v>
      </c>
      <c r="V64" s="6">
        <f>92.8234893929704/100</f>
        <v>0.92823489392970404</v>
      </c>
      <c r="W64">
        <v>27874.6</v>
      </c>
      <c r="Y64">
        <v>1216297.3673039526</v>
      </c>
      <c r="Z64" s="15">
        <v>0.10199999999999999</v>
      </c>
    </row>
    <row r="65" spans="1:28" x14ac:dyDescent="0.2">
      <c r="A65" s="2">
        <v>40087</v>
      </c>
      <c r="B65">
        <v>124122000</v>
      </c>
      <c r="C65" s="3">
        <v>100.797888566176</v>
      </c>
      <c r="D65" s="18">
        <v>28253.7</v>
      </c>
      <c r="E65" s="15">
        <v>0.106</v>
      </c>
      <c r="F65" s="15">
        <f t="shared" si="0"/>
        <v>4.4510753294780159</v>
      </c>
      <c r="G65">
        <f t="shared" si="1"/>
        <v>1231394.8413563366</v>
      </c>
      <c r="H65">
        <v>6.090397329883066</v>
      </c>
      <c r="I65">
        <v>6.1021434581583813</v>
      </c>
      <c r="J65" s="6">
        <v>-1.1746128275315293E-2</v>
      </c>
      <c r="K65" s="3">
        <v>5.4666670000000002</v>
      </c>
      <c r="L65" s="3">
        <f t="shared" si="4"/>
        <v>1.2412650440779236</v>
      </c>
      <c r="M65" s="3">
        <f t="shared" si="5"/>
        <v>-0.1999999999999984</v>
      </c>
      <c r="N65">
        <v>96.60172</v>
      </c>
      <c r="O65">
        <f t="shared" si="6"/>
        <v>-0.39774205907814575</v>
      </c>
      <c r="P65">
        <f t="shared" si="7"/>
        <v>0.50374205907814573</v>
      </c>
      <c r="Q65">
        <v>0.23966060287498189</v>
      </c>
      <c r="R65">
        <v>81706580</v>
      </c>
      <c r="S65" s="13">
        <v>18644740</v>
      </c>
      <c r="T65" s="6">
        <f>70.08003/100</f>
        <v>0.70080029999999993</v>
      </c>
      <c r="U65" s="6">
        <f t="shared" si="3"/>
        <v>0.22819141371478283</v>
      </c>
      <c r="V65" s="6">
        <f>94.1289086329764/100</f>
        <v>0.94128908632976405</v>
      </c>
      <c r="W65">
        <v>28253.7</v>
      </c>
      <c r="Y65">
        <v>1231394.8413563366</v>
      </c>
      <c r="Z65" s="15">
        <v>0.106</v>
      </c>
    </row>
    <row r="66" spans="1:28" x14ac:dyDescent="0.2">
      <c r="A66" s="2">
        <v>40179</v>
      </c>
      <c r="B66">
        <v>125373552</v>
      </c>
      <c r="C66" s="3">
        <v>100.776104041754</v>
      </c>
      <c r="D66" s="18">
        <v>28373.7</v>
      </c>
      <c r="E66" s="15">
        <v>9.6000000000000002E-2</v>
      </c>
      <c r="F66" s="15">
        <f t="shared" si="0"/>
        <v>4.4529159725532477</v>
      </c>
      <c r="G66">
        <f t="shared" si="1"/>
        <v>1244080.1635678899</v>
      </c>
      <c r="H66">
        <v>6.0948483654621173</v>
      </c>
      <c r="I66">
        <v>6.1022293848956206</v>
      </c>
      <c r="J66" s="6">
        <v>-7.381019433503333E-3</v>
      </c>
      <c r="K66" s="3">
        <v>5.3333330000000014</v>
      </c>
      <c r="L66" s="3">
        <f t="shared" si="4"/>
        <v>1.030158791113736</v>
      </c>
      <c r="M66" s="3">
        <f t="shared" si="5"/>
        <v>-0.13333399999999873</v>
      </c>
      <c r="N66">
        <v>96.792810000000003</v>
      </c>
      <c r="O66">
        <f t="shared" si="6"/>
        <v>0.19781221286743408</v>
      </c>
      <c r="P66">
        <f t="shared" si="7"/>
        <v>-0.10181221286743408</v>
      </c>
      <c r="Q66">
        <v>0.22153821769368454</v>
      </c>
      <c r="R66">
        <v>81591030</v>
      </c>
      <c r="S66" s="13">
        <v>18657470</v>
      </c>
      <c r="T66" s="6">
        <f>70.2569/100</f>
        <v>0.702569</v>
      </c>
      <c r="U66" s="6">
        <f t="shared" si="3"/>
        <v>0.22867060263854985</v>
      </c>
      <c r="V66" s="6">
        <f>94.893000804712/100</f>
        <v>0.94893000804712002</v>
      </c>
      <c r="W66">
        <v>28373.7</v>
      </c>
      <c r="Y66">
        <v>1244080.1635678899</v>
      </c>
      <c r="Z66" s="15">
        <v>9.6000000000000002E-2</v>
      </c>
    </row>
    <row r="67" spans="1:28" x14ac:dyDescent="0.2">
      <c r="A67" s="2">
        <v>40269</v>
      </c>
      <c r="B67">
        <v>126236728</v>
      </c>
      <c r="C67" s="3">
        <v>100.242888039234</v>
      </c>
      <c r="D67" s="18">
        <v>26905.7</v>
      </c>
      <c r="E67" s="15">
        <v>9.2999999999999999E-2</v>
      </c>
      <c r="F67" s="15">
        <f t="shared" ref="F67:F125" si="8">LOG(D67,10)</f>
        <v>4.4298442954786905</v>
      </c>
      <c r="G67">
        <f t="shared" ref="G67:G125" si="9">B67/C67</f>
        <v>1259308.5701061634</v>
      </c>
      <c r="H67">
        <v>6.10013215892016</v>
      </c>
      <c r="I67">
        <v>6.1024507767261253</v>
      </c>
      <c r="J67" s="6">
        <v>-2.3186178059653173E-3</v>
      </c>
      <c r="K67" s="3">
        <v>5.3666669999999996</v>
      </c>
      <c r="L67" s="3">
        <f t="shared" si="4"/>
        <v>1.2240695563057598</v>
      </c>
      <c r="M67" s="3">
        <f t="shared" si="5"/>
        <v>3.3333999999998198E-2</v>
      </c>
      <c r="N67">
        <v>96.62312</v>
      </c>
      <c r="O67">
        <f t="shared" si="6"/>
        <v>-0.17531260844684929</v>
      </c>
      <c r="P67">
        <f t="shared" ref="P67:P98" si="10">E67-O67</f>
        <v>0.26831260844684929</v>
      </c>
      <c r="Q67">
        <v>0.20087671818064537</v>
      </c>
      <c r="R67">
        <v>81532700</v>
      </c>
      <c r="S67" s="13">
        <v>18699340</v>
      </c>
      <c r="T67" s="6">
        <f>70.07822/100</f>
        <v>0.70078220000000002</v>
      </c>
      <c r="U67" s="6">
        <f t="shared" ref="U67:U125" si="11">S67/R67</f>
        <v>0.22934773409932457</v>
      </c>
      <c r="V67" s="6">
        <f>96.3297383263703/100</f>
        <v>0.96329738326370307</v>
      </c>
      <c r="W67">
        <v>26905.7</v>
      </c>
      <c r="Y67">
        <v>1259308.5701061634</v>
      </c>
      <c r="Z67" s="15">
        <v>9.2999999999999999E-2</v>
      </c>
    </row>
    <row r="68" spans="1:28" x14ac:dyDescent="0.2">
      <c r="A68" s="2">
        <v>40360</v>
      </c>
      <c r="B68">
        <v>127733272</v>
      </c>
      <c r="C68" s="3">
        <v>99.638322385783397</v>
      </c>
      <c r="D68" s="18">
        <v>26616.9</v>
      </c>
      <c r="E68" s="15">
        <v>9.4E-2</v>
      </c>
      <c r="F68" s="15">
        <f t="shared" si="8"/>
        <v>4.425157472953396</v>
      </c>
      <c r="G68">
        <f t="shared" si="9"/>
        <v>1281969.3160372323</v>
      </c>
      <c r="H68">
        <v>6.1078776304595621</v>
      </c>
      <c r="I68">
        <v>6.1028015238411681</v>
      </c>
      <c r="J68" s="6">
        <v>5.0761066183939718E-3</v>
      </c>
      <c r="K68" s="3">
        <v>5.3</v>
      </c>
      <c r="L68" s="3">
        <f t="shared" ref="L68:L125" si="12">((G68-G67)/G67*100)</f>
        <v>1.7994593596038606</v>
      </c>
      <c r="M68" s="3">
        <f t="shared" ref="M68:M125" si="13">K68-K67</f>
        <v>-6.666699999999981E-2</v>
      </c>
      <c r="N68">
        <v>96.283730000000006</v>
      </c>
      <c r="O68">
        <f t="shared" ref="O68:O111" si="14">(N68-N67)/N67*100</f>
        <v>-0.35125133611913434</v>
      </c>
      <c r="P68">
        <f t="shared" si="10"/>
        <v>0.44525133611913437</v>
      </c>
      <c r="Q68">
        <v>0.17796750065706851</v>
      </c>
      <c r="R68">
        <v>81503020</v>
      </c>
      <c r="S68" s="13">
        <v>18774140</v>
      </c>
      <c r="T68" s="6">
        <f>70.40231/100</f>
        <v>0.70402310000000001</v>
      </c>
      <c r="U68" s="6">
        <f t="shared" si="11"/>
        <v>0.23034901038022887</v>
      </c>
      <c r="V68" s="6">
        <f>97.6909087835447/100</f>
        <v>0.97690908783544694</v>
      </c>
      <c r="W68">
        <v>26616.9</v>
      </c>
      <c r="Y68">
        <v>1281969.3160372323</v>
      </c>
      <c r="Z68" s="15">
        <v>9.4E-2</v>
      </c>
    </row>
    <row r="69" spans="1:28" x14ac:dyDescent="0.2">
      <c r="A69" s="2">
        <v>40452</v>
      </c>
      <c r="B69">
        <v>126332648</v>
      </c>
      <c r="C69" s="3">
        <v>99.3426855332293</v>
      </c>
      <c r="D69" s="18">
        <v>26049</v>
      </c>
      <c r="E69" s="15">
        <v>9.0999999999999998E-2</v>
      </c>
      <c r="F69" s="15">
        <f t="shared" si="8"/>
        <v>4.415791055742341</v>
      </c>
      <c r="G69">
        <f t="shared" si="9"/>
        <v>1271685.4524507774</v>
      </c>
      <c r="H69">
        <v>6.104379703169232</v>
      </c>
      <c r="I69">
        <v>6.1032740672958923</v>
      </c>
      <c r="J69" s="6">
        <v>1.1056358733396721E-3</v>
      </c>
      <c r="K69" s="3">
        <v>5.266667</v>
      </c>
      <c r="L69" s="3">
        <f t="shared" si="12"/>
        <v>-0.80219264671980739</v>
      </c>
      <c r="M69" s="3">
        <f t="shared" si="13"/>
        <v>-3.3332999999999835E-2</v>
      </c>
      <c r="N69">
        <v>96.453419999999994</v>
      </c>
      <c r="O69">
        <f t="shared" si="14"/>
        <v>0.17623953704326636</v>
      </c>
      <c r="P69">
        <f t="shared" si="10"/>
        <v>-8.5239537043266367E-2</v>
      </c>
      <c r="Q69">
        <v>0.15325469558036964</v>
      </c>
      <c r="R69">
        <v>81372530</v>
      </c>
      <c r="S69" s="13">
        <v>18769870</v>
      </c>
      <c r="T69" s="6">
        <f>70.3964/100</f>
        <v>0.70396400000000003</v>
      </c>
      <c r="U69" s="6">
        <f t="shared" si="11"/>
        <v>0.23066592620384299</v>
      </c>
      <c r="V69" s="6">
        <f>97.0170392889816/100</f>
        <v>0.97017039288981588</v>
      </c>
      <c r="W69">
        <v>26049</v>
      </c>
      <c r="Y69">
        <v>1271685.4524507774</v>
      </c>
      <c r="Z69" s="15">
        <v>9.0999999999999998E-2</v>
      </c>
    </row>
    <row r="70" spans="1:28" x14ac:dyDescent="0.2">
      <c r="A70" s="2">
        <v>40544</v>
      </c>
      <c r="B70">
        <v>124668400</v>
      </c>
      <c r="C70" s="3">
        <v>99.101715739052807</v>
      </c>
      <c r="D70" s="18">
        <v>25611.5</v>
      </c>
      <c r="E70" s="15">
        <v>8.5000000000000006E-2</v>
      </c>
      <c r="F70" s="15">
        <f t="shared" si="8"/>
        <v>4.4084350147294931</v>
      </c>
      <c r="G70">
        <f t="shared" si="9"/>
        <v>1257984.2747452271</v>
      </c>
      <c r="H70">
        <v>6.0996752123063418</v>
      </c>
      <c r="I70">
        <v>6.1038640207120771</v>
      </c>
      <c r="J70" s="6">
        <v>-4.1888084057353225E-3</v>
      </c>
      <c r="K70" s="3">
        <v>4.9714980000000004</v>
      </c>
      <c r="L70" s="3">
        <f t="shared" si="12"/>
        <v>-1.0774030385537228</v>
      </c>
      <c r="M70" s="3">
        <f t="shared" si="13"/>
        <v>-0.29516899999999957</v>
      </c>
      <c r="N70">
        <v>96.249790000000004</v>
      </c>
      <c r="O70">
        <f t="shared" si="14"/>
        <v>-0.2111174492309239</v>
      </c>
      <c r="P70">
        <f t="shared" si="10"/>
        <v>0.29611744923092392</v>
      </c>
      <c r="Q70">
        <v>0.12701792900940165</v>
      </c>
      <c r="R70">
        <v>81076340</v>
      </c>
      <c r="S70" s="13">
        <v>18750230</v>
      </c>
      <c r="T70" s="6">
        <f>70.82626/100</f>
        <v>0.70826260000000008</v>
      </c>
      <c r="U70" s="6">
        <f t="shared" si="11"/>
        <v>0.23126635958159927</v>
      </c>
      <c r="V70" s="6">
        <f>95.8047328534992/100</f>
        <v>0.95804732853499208</v>
      </c>
      <c r="W70">
        <v>25611.5</v>
      </c>
      <c r="Y70">
        <v>1257984.2747452271</v>
      </c>
      <c r="Z70" s="15">
        <v>8.5000000000000006E-2</v>
      </c>
    </row>
    <row r="71" spans="1:28" x14ac:dyDescent="0.2">
      <c r="A71" s="2">
        <v>40634</v>
      </c>
      <c r="B71">
        <v>122667576</v>
      </c>
      <c r="C71" s="3">
        <v>98.343034854213499</v>
      </c>
      <c r="D71" s="18">
        <v>26331.8</v>
      </c>
      <c r="E71" s="15">
        <v>6.2E-2</v>
      </c>
      <c r="F71" s="15">
        <f t="shared" si="8"/>
        <v>4.4204805478013931</v>
      </c>
      <c r="G71">
        <f t="shared" si="9"/>
        <v>1247343.8122165529</v>
      </c>
      <c r="H71">
        <v>6.0959861769494408</v>
      </c>
      <c r="I71">
        <v>6.1045676887339217</v>
      </c>
      <c r="J71" s="6">
        <v>-8.5815117844809663E-3</v>
      </c>
      <c r="K71" s="3">
        <v>4.8839760000000014</v>
      </c>
      <c r="L71" s="3">
        <f t="shared" si="12"/>
        <v>-0.84583430351934419</v>
      </c>
      <c r="M71" s="3">
        <f t="shared" si="13"/>
        <v>-8.7521999999998989E-2</v>
      </c>
      <c r="N71">
        <v>96.249790000000004</v>
      </c>
      <c r="O71">
        <f t="shared" si="14"/>
        <v>0</v>
      </c>
      <c r="P71">
        <f t="shared" si="10"/>
        <v>6.2E-2</v>
      </c>
      <c r="Q71">
        <v>9.962611622404903E-2</v>
      </c>
      <c r="R71">
        <v>80560820</v>
      </c>
      <c r="S71" s="13">
        <v>18684360</v>
      </c>
      <c r="T71" s="6">
        <f>71.07259/100</f>
        <v>0.71072590000000002</v>
      </c>
      <c r="U71" s="6">
        <f t="shared" si="11"/>
        <v>0.23192862237499567</v>
      </c>
      <c r="V71" s="6">
        <f>95.3999229456821/100</f>
        <v>0.95399922945682103</v>
      </c>
      <c r="W71">
        <v>26331.8</v>
      </c>
      <c r="Y71">
        <v>1247343.8122165529</v>
      </c>
      <c r="Z71" s="15">
        <v>6.2E-2</v>
      </c>
    </row>
    <row r="72" spans="1:28" x14ac:dyDescent="0.2">
      <c r="A72" s="2">
        <v>40725</v>
      </c>
      <c r="B72">
        <v>125260976</v>
      </c>
      <c r="C72" s="3">
        <v>98.053320510273394</v>
      </c>
      <c r="D72" s="18">
        <v>25549.599999999999</v>
      </c>
      <c r="E72" s="15">
        <v>7.2999999999999995E-2</v>
      </c>
      <c r="F72" s="15">
        <f t="shared" si="8"/>
        <v>4.4073841052866767</v>
      </c>
      <c r="G72">
        <f t="shared" si="9"/>
        <v>1277478.1654322045</v>
      </c>
      <c r="H72">
        <v>6.1063534859391604</v>
      </c>
      <c r="I72">
        <v>6.1053787580003727</v>
      </c>
      <c r="J72" s="6">
        <v>9.7472793878772279E-4</v>
      </c>
      <c r="K72" s="3">
        <v>4.6672699999999994</v>
      </c>
      <c r="L72" s="3">
        <f t="shared" si="12"/>
        <v>2.4158818860136315</v>
      </c>
      <c r="M72" s="3">
        <f t="shared" si="13"/>
        <v>-0.21670600000000206</v>
      </c>
      <c r="N72">
        <v>96.351600000000005</v>
      </c>
      <c r="O72">
        <f t="shared" si="14"/>
        <v>0.10577685416248743</v>
      </c>
      <c r="P72">
        <f t="shared" si="10"/>
        <v>-3.2776854162487434E-2</v>
      </c>
      <c r="Q72">
        <v>7.140753629856543E-2</v>
      </c>
      <c r="R72">
        <v>80600620</v>
      </c>
      <c r="S72" s="13">
        <v>18712080</v>
      </c>
      <c r="T72" s="6">
        <f>70.78523/100</f>
        <v>0.70785229999999999</v>
      </c>
      <c r="U72" s="6">
        <f t="shared" si="11"/>
        <v>0.23215801565794408</v>
      </c>
      <c r="V72" s="6">
        <f>97.7334764835854/100</f>
        <v>0.97733476483585402</v>
      </c>
      <c r="W72">
        <v>25549.599999999999</v>
      </c>
      <c r="Y72">
        <v>1277478.1654322045</v>
      </c>
      <c r="Z72" s="15">
        <v>7.2999999999999995E-2</v>
      </c>
    </row>
    <row r="73" spans="1:28" x14ac:dyDescent="0.2">
      <c r="A73" s="2">
        <v>40817</v>
      </c>
      <c r="B73">
        <v>125077504</v>
      </c>
      <c r="C73" s="3">
        <v>98.021421055704707</v>
      </c>
      <c r="D73" s="18">
        <v>24703.5</v>
      </c>
      <c r="E73" s="15">
        <v>8.1000000000000003E-2</v>
      </c>
      <c r="F73" s="15">
        <f t="shared" si="8"/>
        <v>4.3927584886038895</v>
      </c>
      <c r="G73">
        <f t="shared" si="9"/>
        <v>1276022.1454953153</v>
      </c>
      <c r="H73">
        <v>6.1058582116758613</v>
      </c>
      <c r="I73">
        <v>6.1062855517055095</v>
      </c>
      <c r="J73" s="6">
        <v>-4.2734002964817108E-4</v>
      </c>
      <c r="K73" s="3">
        <v>4.7</v>
      </c>
      <c r="L73" s="3">
        <f t="shared" si="12"/>
        <v>-0.11397611139573312</v>
      </c>
      <c r="M73" s="3">
        <f t="shared" si="13"/>
        <v>3.2730000000000814E-2</v>
      </c>
      <c r="N73">
        <v>96.147970000000001</v>
      </c>
      <c r="O73">
        <f t="shared" si="14"/>
        <v>-0.21134054857418452</v>
      </c>
      <c r="P73">
        <f t="shared" si="10"/>
        <v>0.29234054857418451</v>
      </c>
      <c r="Q73">
        <v>4.2607716450712874E-2</v>
      </c>
      <c r="R73">
        <v>81059300</v>
      </c>
      <c r="S73" s="13">
        <v>18775630</v>
      </c>
      <c r="T73" s="6">
        <f>70.50805/100</f>
        <v>0.7050805</v>
      </c>
      <c r="U73" s="6">
        <f t="shared" si="11"/>
        <v>0.23162832642275469</v>
      </c>
      <c r="V73" s="6">
        <f>97.4499249983862/100</f>
        <v>0.97449924998386195</v>
      </c>
      <c r="W73">
        <v>24703.5</v>
      </c>
      <c r="Y73">
        <v>1276022.1454953153</v>
      </c>
      <c r="Z73" s="15">
        <v>8.1000000000000003E-2</v>
      </c>
    </row>
    <row r="74" spans="1:28" x14ac:dyDescent="0.2">
      <c r="A74" s="2">
        <v>40909</v>
      </c>
      <c r="B74">
        <v>126865072</v>
      </c>
      <c r="C74" s="3">
        <v>98.065087016754504</v>
      </c>
      <c r="D74" s="18">
        <v>26104.1</v>
      </c>
      <c r="E74" s="15">
        <v>0.08</v>
      </c>
      <c r="F74" s="15">
        <f t="shared" si="8"/>
        <v>4.416708724485189</v>
      </c>
      <c r="G74">
        <f t="shared" si="9"/>
        <v>1293682.3477077524</v>
      </c>
      <c r="H74">
        <v>6.1118276522422077</v>
      </c>
      <c r="I74">
        <v>6.1072770022483756</v>
      </c>
      <c r="J74" s="6">
        <v>4.5506499938321454E-3</v>
      </c>
      <c r="K74" s="3">
        <v>4.733333</v>
      </c>
      <c r="L74" s="3">
        <f t="shared" si="12"/>
        <v>1.3840043665999127</v>
      </c>
      <c r="M74" s="3">
        <f t="shared" si="13"/>
        <v>3.3332999999999835E-2</v>
      </c>
      <c r="N74">
        <v>96.589169999999996</v>
      </c>
      <c r="O74">
        <f t="shared" si="14"/>
        <v>0.45887604283272432</v>
      </c>
      <c r="P74">
        <f t="shared" si="10"/>
        <v>-0.3788760428327243</v>
      </c>
      <c r="Q74">
        <v>1.3610267030925669E-2</v>
      </c>
      <c r="R74">
        <v>80868810</v>
      </c>
      <c r="S74" s="13">
        <v>18703240</v>
      </c>
      <c r="T74" s="6">
        <f>70.37736/100</f>
        <v>0.7037736</v>
      </c>
      <c r="U74" s="6">
        <f t="shared" si="11"/>
        <v>0.23127878350132763</v>
      </c>
      <c r="V74" s="6">
        <f>99.0434169967866/100</f>
        <v>0.99043416996786604</v>
      </c>
      <c r="W74">
        <v>26104.1</v>
      </c>
      <c r="Y74">
        <v>1293682.3477077524</v>
      </c>
      <c r="Z74" s="15">
        <v>0.08</v>
      </c>
    </row>
    <row r="75" spans="1:28" x14ac:dyDescent="0.2">
      <c r="A75" s="2">
        <v>41000</v>
      </c>
      <c r="B75">
        <v>125039472</v>
      </c>
      <c r="C75" s="3">
        <v>97.555842460484499</v>
      </c>
      <c r="D75" s="18">
        <v>26499.1</v>
      </c>
      <c r="E75" s="15">
        <v>7.4999999999999997E-2</v>
      </c>
      <c r="F75" s="15">
        <f t="shared" si="8"/>
        <v>4.423231124062422</v>
      </c>
      <c r="G75">
        <f t="shared" si="9"/>
        <v>1281722.0255224374</v>
      </c>
      <c r="H75">
        <v>6.1077938474357678</v>
      </c>
      <c r="I75">
        <v>6.1083417749404951</v>
      </c>
      <c r="J75" s="6">
        <v>-5.479275047273191E-4</v>
      </c>
      <c r="K75" s="3">
        <v>4.6333330000000004</v>
      </c>
      <c r="L75" s="3">
        <f t="shared" si="12"/>
        <v>-0.92451769219137858</v>
      </c>
      <c r="M75" s="3">
        <f t="shared" si="13"/>
        <v>-9.9999999999999645E-2</v>
      </c>
      <c r="N75">
        <v>96.385540000000006</v>
      </c>
      <c r="O75">
        <f t="shared" si="14"/>
        <v>-0.21082073694182255</v>
      </c>
      <c r="P75">
        <f t="shared" si="10"/>
        <v>0.28582073694182253</v>
      </c>
      <c r="Q75">
        <v>-1.5464628959914024E-2</v>
      </c>
      <c r="R75">
        <v>80745430</v>
      </c>
      <c r="S75" s="13">
        <v>18536030</v>
      </c>
      <c r="T75" s="6">
        <f>70.50141/100</f>
        <v>0.70501410000000009</v>
      </c>
      <c r="U75" s="6">
        <f t="shared" si="11"/>
        <v>0.22956135102630576</v>
      </c>
      <c r="V75" s="6">
        <f>98.2054462063937/100</f>
        <v>0.98205446206393698</v>
      </c>
      <c r="W75">
        <v>26499.1</v>
      </c>
      <c r="Y75">
        <v>1281722.0255224374</v>
      </c>
      <c r="Z75" s="15">
        <v>7.4999999999999997E-2</v>
      </c>
    </row>
    <row r="76" spans="1:28" x14ac:dyDescent="0.2">
      <c r="A76" s="2">
        <v>41091</v>
      </c>
      <c r="B76">
        <v>124382704</v>
      </c>
      <c r="C76" s="3">
        <v>97.421431228488501</v>
      </c>
      <c r="D76" s="18">
        <v>25952.2</v>
      </c>
      <c r="E76" s="15">
        <v>8.4000000000000005E-2</v>
      </c>
      <c r="F76" s="15">
        <f t="shared" si="8"/>
        <v>4.4141741794238518</v>
      </c>
      <c r="G76">
        <f t="shared" si="9"/>
        <v>1276748.8881196743</v>
      </c>
      <c r="H76">
        <v>6.1061054883143795</v>
      </c>
      <c r="I76">
        <v>6.1094713792496389</v>
      </c>
      <c r="J76" s="6">
        <v>-3.365890935259408E-3</v>
      </c>
      <c r="K76" s="3">
        <v>4.5</v>
      </c>
      <c r="L76" s="3">
        <f t="shared" si="12"/>
        <v>-0.38800436473236422</v>
      </c>
      <c r="M76" s="3">
        <f t="shared" si="13"/>
        <v>-0.13333300000000037</v>
      </c>
      <c r="N76">
        <v>95.944339999999997</v>
      </c>
      <c r="O76">
        <f t="shared" si="14"/>
        <v>-0.45774501029927223</v>
      </c>
      <c r="P76">
        <f t="shared" si="10"/>
        <v>0.54174501029927224</v>
      </c>
      <c r="Q76">
        <v>-4.4326656977229734E-2</v>
      </c>
      <c r="R76">
        <v>80380370</v>
      </c>
      <c r="S76" s="13">
        <v>18297690</v>
      </c>
      <c r="T76" s="6">
        <f>70.6972/100</f>
        <v>0.70697199999999993</v>
      </c>
      <c r="U76" s="6">
        <f t="shared" si="11"/>
        <v>0.22763878792794809</v>
      </c>
      <c r="V76" s="6">
        <f>97.6962029878146/100</f>
        <v>0.97696202987814607</v>
      </c>
      <c r="W76">
        <v>25952.2</v>
      </c>
      <c r="Y76">
        <v>1276748.8881196743</v>
      </c>
      <c r="Z76" s="15">
        <v>8.4000000000000005E-2</v>
      </c>
    </row>
    <row r="77" spans="1:28" x14ac:dyDescent="0.2">
      <c r="A77" s="2">
        <v>41183</v>
      </c>
      <c r="B77">
        <v>124329000</v>
      </c>
      <c r="C77" s="3">
        <v>97.416101489111995</v>
      </c>
      <c r="D77" s="18">
        <v>25465</v>
      </c>
      <c r="E77" s="15">
        <v>8.5000000000000006E-2</v>
      </c>
      <c r="F77" s="15">
        <f t="shared" si="8"/>
        <v>4.4059436805121965</v>
      </c>
      <c r="G77">
        <f t="shared" si="9"/>
        <v>1276267.4557849762</v>
      </c>
      <c r="H77">
        <v>6.1059416950747893</v>
      </c>
      <c r="I77">
        <v>6.1106569821888881</v>
      </c>
      <c r="J77" s="6">
        <v>-4.7152871140987429E-3</v>
      </c>
      <c r="K77" s="3">
        <v>4.3666669999999996</v>
      </c>
      <c r="L77" s="3">
        <f t="shared" si="12"/>
        <v>-3.7707676049521792E-2</v>
      </c>
      <c r="M77" s="3">
        <f t="shared" si="13"/>
        <v>-0.13333300000000037</v>
      </c>
      <c r="N77">
        <v>95.944339999999997</v>
      </c>
      <c r="O77">
        <f t="shared" si="14"/>
        <v>0</v>
      </c>
      <c r="P77">
        <f t="shared" si="10"/>
        <v>8.5000000000000006E-2</v>
      </c>
      <c r="Q77">
        <v>-7.2337246451907991E-2</v>
      </c>
      <c r="R77">
        <v>79948730</v>
      </c>
      <c r="S77" s="13">
        <v>18069710</v>
      </c>
      <c r="T77" s="6">
        <f>70.90794/100</f>
        <v>0.70907939999999992</v>
      </c>
      <c r="U77" s="6">
        <f t="shared" si="11"/>
        <v>0.22601622314700934</v>
      </c>
      <c r="V77" s="6">
        <f>97.5972460134095/100</f>
        <v>0.975972460134095</v>
      </c>
      <c r="W77">
        <v>25465</v>
      </c>
      <c r="Y77">
        <v>1276267.4557849762</v>
      </c>
      <c r="Z77" s="15">
        <v>8.5000000000000006E-2</v>
      </c>
    </row>
    <row r="78" spans="1:28" x14ac:dyDescent="0.2">
      <c r="A78" s="2">
        <v>41275</v>
      </c>
      <c r="B78">
        <v>125731048</v>
      </c>
      <c r="C78" s="3">
        <v>97.211475689247806</v>
      </c>
      <c r="D78" s="18">
        <v>25834.3</v>
      </c>
      <c r="E78" s="15">
        <v>8.3000000000000004E-2</v>
      </c>
      <c r="F78" s="15">
        <f t="shared" si="8"/>
        <v>4.4121966985019272</v>
      </c>
      <c r="G78">
        <f t="shared" si="9"/>
        <v>1293376.600946987</v>
      </c>
      <c r="H78">
        <v>6.1117249996669756</v>
      </c>
      <c r="I78">
        <v>6.111887647089489</v>
      </c>
      <c r="J78" s="6">
        <v>-1.6264742251337339E-4</v>
      </c>
      <c r="K78" s="3">
        <v>4.4000000000000004</v>
      </c>
      <c r="L78" s="3">
        <f t="shared" si="12"/>
        <v>1.3405611092298606</v>
      </c>
      <c r="M78" s="3">
        <f t="shared" si="13"/>
        <v>3.3333000000000723E-2</v>
      </c>
      <c r="N78">
        <v>96.04616</v>
      </c>
      <c r="O78">
        <f t="shared" si="14"/>
        <v>0.10612402982813116</v>
      </c>
      <c r="P78">
        <f t="shared" si="10"/>
        <v>-2.3124029828131151E-2</v>
      </c>
      <c r="Q78">
        <v>-9.8776997654224555E-2</v>
      </c>
      <c r="R78">
        <v>79728740</v>
      </c>
      <c r="S78" s="13">
        <v>17871560</v>
      </c>
      <c r="T78" s="6">
        <f>71.26247/100</f>
        <v>0.71262469999999989</v>
      </c>
      <c r="U78" s="6">
        <f t="shared" si="11"/>
        <v>0.22415455204735457</v>
      </c>
      <c r="V78" s="6">
        <f>98.632257165838/100</f>
        <v>0.98632257165838</v>
      </c>
      <c r="X78">
        <v>25834.3</v>
      </c>
      <c r="AA78" s="15">
        <v>8.3000000000000004E-2</v>
      </c>
      <c r="AB78">
        <v>1293376.600946987</v>
      </c>
    </row>
    <row r="79" spans="1:28" x14ac:dyDescent="0.2">
      <c r="A79" s="2">
        <v>41365</v>
      </c>
      <c r="B79">
        <v>126880472</v>
      </c>
      <c r="C79" s="3">
        <v>97.210168219722505</v>
      </c>
      <c r="D79" s="18">
        <v>26814.7</v>
      </c>
      <c r="E79" s="15">
        <v>7.1999999999999995E-2</v>
      </c>
      <c r="F79" s="15">
        <f t="shared" si="8"/>
        <v>4.4283729424859821</v>
      </c>
      <c r="G79">
        <f t="shared" si="9"/>
        <v>1305218.109624234</v>
      </c>
      <c r="H79">
        <v>6.1156830909013964</v>
      </c>
      <c r="I79">
        <v>6.1131494902282402</v>
      </c>
      <c r="J79" s="6">
        <v>2.5336006731562222E-3</v>
      </c>
      <c r="K79" s="3">
        <v>4.3</v>
      </c>
      <c r="L79" s="3">
        <f t="shared" si="12"/>
        <v>0.91554993870902268</v>
      </c>
      <c r="M79" s="3">
        <f t="shared" si="13"/>
        <v>-0.10000000000000053</v>
      </c>
      <c r="N79">
        <v>96.147970000000001</v>
      </c>
      <c r="O79">
        <f t="shared" si="14"/>
        <v>0.10600111446412892</v>
      </c>
      <c r="P79">
        <f t="shared" si="10"/>
        <v>-3.4001114464128929E-2</v>
      </c>
      <c r="Q79">
        <v>-0.12289575259406531</v>
      </c>
      <c r="R79">
        <v>79421790</v>
      </c>
      <c r="S79" s="13">
        <v>17651790</v>
      </c>
      <c r="T79" s="6">
        <f>71.64281/100</f>
        <v>0.71642810000000001</v>
      </c>
      <c r="U79" s="6">
        <f t="shared" si="11"/>
        <v>0.2222537416998534</v>
      </c>
      <c r="V79" s="6">
        <f>99.299425655899/100</f>
        <v>0.99299425655898998</v>
      </c>
      <c r="X79">
        <v>26814.7</v>
      </c>
      <c r="AA79" s="15">
        <v>7.1999999999999995E-2</v>
      </c>
      <c r="AB79">
        <v>1305218.109624234</v>
      </c>
    </row>
    <row r="80" spans="1:28" x14ac:dyDescent="0.2">
      <c r="A80" s="2">
        <v>41456</v>
      </c>
      <c r="B80">
        <v>128218624</v>
      </c>
      <c r="C80" s="3">
        <v>97.299420614263298</v>
      </c>
      <c r="D80" s="18">
        <v>28266.2</v>
      </c>
      <c r="E80" s="15">
        <v>7.2999999999999995E-2</v>
      </c>
      <c r="F80" s="15">
        <f t="shared" si="8"/>
        <v>4.4512674275217954</v>
      </c>
      <c r="G80">
        <f t="shared" si="9"/>
        <v>1317773.7666939837</v>
      </c>
      <c r="H80">
        <v>6.1198408576708845</v>
      </c>
      <c r="I80">
        <v>6.114428526227301</v>
      </c>
      <c r="J80" s="6">
        <v>5.4123314435834402E-3</v>
      </c>
      <c r="K80" s="3">
        <v>4.1333330000000004</v>
      </c>
      <c r="L80" s="3">
        <f t="shared" si="12"/>
        <v>0.96195853989218538</v>
      </c>
      <c r="M80" s="3">
        <f t="shared" si="13"/>
        <v>-0.16666699999999945</v>
      </c>
      <c r="N80">
        <v>96.792810000000003</v>
      </c>
      <c r="O80">
        <f t="shared" si="14"/>
        <v>0.67067458626531795</v>
      </c>
      <c r="P80">
        <f t="shared" si="10"/>
        <v>-0.597674586265318</v>
      </c>
      <c r="Q80">
        <v>-0.14390286835432231</v>
      </c>
      <c r="R80">
        <v>79072340</v>
      </c>
      <c r="S80" s="13">
        <v>17485670</v>
      </c>
      <c r="T80" s="6">
        <f>71.92992/100</f>
        <v>0.71929919999999992</v>
      </c>
      <c r="U80" s="6">
        <f t="shared" si="11"/>
        <v>0.22113510236322842</v>
      </c>
      <c r="V80" s="6">
        <f>100.152629532391/100</f>
        <v>1.0015262953239101</v>
      </c>
      <c r="X80">
        <v>28266.2</v>
      </c>
      <c r="AA80" s="15">
        <v>7.2999999999999995E-2</v>
      </c>
      <c r="AB80">
        <v>1317773.7666939837</v>
      </c>
    </row>
    <row r="81" spans="1:28" x14ac:dyDescent="0.2">
      <c r="A81" s="2">
        <v>41548</v>
      </c>
      <c r="B81">
        <v>128139048</v>
      </c>
      <c r="C81" s="3">
        <v>97.331417841080906</v>
      </c>
      <c r="D81" s="18">
        <v>28749</v>
      </c>
      <c r="E81" s="15">
        <v>7.0000000000000007E-2</v>
      </c>
      <c r="F81" s="15">
        <f t="shared" si="8"/>
        <v>4.4586227428679086</v>
      </c>
      <c r="G81">
        <f t="shared" si="9"/>
        <v>1316522.9772900322</v>
      </c>
      <c r="H81">
        <v>6.1194284432546118</v>
      </c>
      <c r="I81">
        <v>6.1157123532092514</v>
      </c>
      <c r="J81" s="6">
        <v>3.7160900453603318E-3</v>
      </c>
      <c r="K81" s="3">
        <v>4.0666669999999998</v>
      </c>
      <c r="L81" s="3">
        <f t="shared" si="12"/>
        <v>-9.4916854134185769E-2</v>
      </c>
      <c r="M81" s="3">
        <f t="shared" si="13"/>
        <v>-6.6666000000000558E-2</v>
      </c>
      <c r="N81">
        <v>97.267939999999996</v>
      </c>
      <c r="O81">
        <f t="shared" si="14"/>
        <v>0.49087323738198418</v>
      </c>
      <c r="P81">
        <f t="shared" si="10"/>
        <v>-0.42087323738198418</v>
      </c>
      <c r="Q81">
        <v>-0.16130443878893216</v>
      </c>
      <c r="R81">
        <v>78933800</v>
      </c>
      <c r="S81" s="13">
        <v>17317650</v>
      </c>
      <c r="T81" s="6">
        <f>72.20818/100</f>
        <v>0.7220818</v>
      </c>
      <c r="U81" s="6">
        <f t="shared" si="11"/>
        <v>0.21939460661972437</v>
      </c>
      <c r="V81" s="6">
        <f>99.5047774184534/100</f>
        <v>0.99504777418453405</v>
      </c>
      <c r="X81">
        <v>28749</v>
      </c>
      <c r="AA81" s="15">
        <v>7.0000000000000007E-2</v>
      </c>
      <c r="AB81">
        <v>1316522.9772900322</v>
      </c>
    </row>
    <row r="82" spans="1:28" x14ac:dyDescent="0.2">
      <c r="A82" s="2">
        <v>41640</v>
      </c>
      <c r="B82">
        <v>129136576</v>
      </c>
      <c r="C82" s="3">
        <v>97.348865030354403</v>
      </c>
      <c r="D82" s="18">
        <v>28088.799999999999</v>
      </c>
      <c r="E82" s="15">
        <v>7.2999999999999995E-2</v>
      </c>
      <c r="F82" s="15">
        <f t="shared" si="8"/>
        <v>4.4485331858192207</v>
      </c>
      <c r="G82">
        <f t="shared" si="9"/>
        <v>1326533.9658529542</v>
      </c>
      <c r="H82">
        <v>6.1227183745548031</v>
      </c>
      <c r="I82">
        <v>6.1169919520038238</v>
      </c>
      <c r="J82" s="6">
        <v>5.7264225509792155E-3</v>
      </c>
      <c r="K82" s="3">
        <v>3.8</v>
      </c>
      <c r="L82" s="3">
        <f t="shared" si="12"/>
        <v>0.76041122985402754</v>
      </c>
      <c r="M82" s="3">
        <f t="shared" si="13"/>
        <v>-0.26666699999999999</v>
      </c>
      <c r="N82">
        <v>97.47157</v>
      </c>
      <c r="O82">
        <f t="shared" si="14"/>
        <v>0.20934955546504222</v>
      </c>
      <c r="P82">
        <f t="shared" si="10"/>
        <v>-0.13634955546504224</v>
      </c>
      <c r="Q82">
        <v>-0.17477966423247376</v>
      </c>
      <c r="R82">
        <v>78498750</v>
      </c>
      <c r="S82" s="13">
        <v>17086080</v>
      </c>
      <c r="T82" s="6">
        <f>72.51071/100</f>
        <v>0.7251071</v>
      </c>
      <c r="U82" s="6">
        <f t="shared" si="11"/>
        <v>0.2176605359957961</v>
      </c>
      <c r="V82" s="6">
        <f>100.402793450526/100</f>
        <v>1.0040279345052601</v>
      </c>
      <c r="X82">
        <v>28088.799999999999</v>
      </c>
      <c r="AA82" s="15">
        <v>7.2999999999999995E-2</v>
      </c>
      <c r="AB82">
        <v>1326533.9658529542</v>
      </c>
    </row>
    <row r="83" spans="1:28" x14ac:dyDescent="0.2">
      <c r="A83" s="2">
        <v>41730</v>
      </c>
      <c r="B83">
        <v>129480224</v>
      </c>
      <c r="C83" s="3">
        <v>99.375571467775003</v>
      </c>
      <c r="D83" s="18">
        <v>27125</v>
      </c>
      <c r="E83" s="15">
        <v>6.5000000000000002E-2</v>
      </c>
      <c r="F83" s="15">
        <f t="shared" si="8"/>
        <v>4.4333697468565854</v>
      </c>
      <c r="G83">
        <f t="shared" si="9"/>
        <v>1302938.1576133848</v>
      </c>
      <c r="H83">
        <v>6.1149238029385007</v>
      </c>
      <c r="I83">
        <v>6.1182606259970296</v>
      </c>
      <c r="J83" s="6">
        <v>-3.3368230585288927E-3</v>
      </c>
      <c r="K83" s="3">
        <v>3.8</v>
      </c>
      <c r="L83" s="3">
        <f t="shared" si="12"/>
        <v>-1.7787564319468776</v>
      </c>
      <c r="M83" s="3">
        <f t="shared" si="13"/>
        <v>0</v>
      </c>
      <c r="N83">
        <v>99.609700000000004</v>
      </c>
      <c r="O83" s="17">
        <f t="shared" si="14"/>
        <v>2.1935934755129152</v>
      </c>
      <c r="P83">
        <f t="shared" si="10"/>
        <v>-2.1285934755129152</v>
      </c>
      <c r="Q83">
        <v>-0.18399214821744855</v>
      </c>
      <c r="R83">
        <v>78318330</v>
      </c>
      <c r="S83" s="13">
        <v>16987470</v>
      </c>
      <c r="T83" s="6">
        <f>72.71606/100</f>
        <v>0.72716059999999993</v>
      </c>
      <c r="U83" s="6">
        <f t="shared" si="11"/>
        <v>0.21690286296962666</v>
      </c>
      <c r="V83" s="6">
        <f>98.3021841866304/100</f>
        <v>0.98302184186630404</v>
      </c>
      <c r="X83">
        <v>27125</v>
      </c>
      <c r="AA83" s="15">
        <v>6.5000000000000002E-2</v>
      </c>
      <c r="AB83">
        <v>1302938.1576133848</v>
      </c>
    </row>
    <row r="84" spans="1:28" x14ac:dyDescent="0.2">
      <c r="A84" s="2">
        <v>41821</v>
      </c>
      <c r="B84">
        <v>129572648</v>
      </c>
      <c r="C84" s="3">
        <v>99.351849878897895</v>
      </c>
      <c r="D84" s="18">
        <v>27876</v>
      </c>
      <c r="E84" s="15">
        <v>6.6000000000000003E-2</v>
      </c>
      <c r="F84" s="15">
        <f t="shared" si="8"/>
        <v>4.4452304558478604</v>
      </c>
      <c r="G84">
        <f t="shared" si="9"/>
        <v>1304179.5211456947</v>
      </c>
      <c r="H84">
        <v>6.1153373764240797</v>
      </c>
      <c r="I84">
        <v>6.1195152575889749</v>
      </c>
      <c r="J84" s="6">
        <v>-4.1778811648951475E-3</v>
      </c>
      <c r="K84" s="3">
        <v>3.733333</v>
      </c>
      <c r="L84" s="3">
        <f t="shared" si="12"/>
        <v>9.5274171307079838E-2</v>
      </c>
      <c r="M84" s="3">
        <f t="shared" si="13"/>
        <v>-6.666699999999981E-2</v>
      </c>
      <c r="N84">
        <v>100.017</v>
      </c>
      <c r="O84">
        <f t="shared" si="14"/>
        <v>0.40889592077879183</v>
      </c>
      <c r="P84">
        <f t="shared" si="10"/>
        <v>-0.34289592077879183</v>
      </c>
      <c r="Q84">
        <v>-0.18982662790840832</v>
      </c>
      <c r="R84">
        <v>78069950</v>
      </c>
      <c r="S84" s="13">
        <v>16744190</v>
      </c>
      <c r="T84" s="6">
        <f>72.84492/100</f>
        <v>0.72844920000000002</v>
      </c>
      <c r="U84" s="6">
        <f t="shared" si="11"/>
        <v>0.21447676090480397</v>
      </c>
      <c r="V84" s="6">
        <f>98.3155400796188/100</f>
        <v>0.98315540079618802</v>
      </c>
      <c r="X84">
        <v>27876</v>
      </c>
      <c r="AA84" s="15">
        <v>6.6000000000000003E-2</v>
      </c>
      <c r="AB84">
        <v>1304179.5211456947</v>
      </c>
    </row>
    <row r="85" spans="1:28" x14ac:dyDescent="0.2">
      <c r="A85" s="2">
        <v>41913</v>
      </c>
      <c r="B85">
        <v>130534952</v>
      </c>
      <c r="C85" s="3">
        <v>99.614708117881605</v>
      </c>
      <c r="D85" s="18">
        <v>28041.8</v>
      </c>
      <c r="E85" s="15">
        <v>5.8999999999999997E-2</v>
      </c>
      <c r="F85" s="15">
        <f t="shared" si="8"/>
        <v>4.4478058875035114</v>
      </c>
      <c r="G85">
        <f t="shared" si="9"/>
        <v>1310398.3785760647</v>
      </c>
      <c r="H85">
        <v>6.1174033470415692</v>
      </c>
      <c r="I85">
        <v>6.1207506436653549</v>
      </c>
      <c r="J85" s="6">
        <v>-3.3472966237857449E-3</v>
      </c>
      <c r="K85" s="3">
        <v>3.6</v>
      </c>
      <c r="L85" s="3">
        <f t="shared" si="12"/>
        <v>0.47684059821050723</v>
      </c>
      <c r="M85" s="3">
        <f t="shared" si="13"/>
        <v>-0.13333299999999992</v>
      </c>
      <c r="N85">
        <v>99.745459999999994</v>
      </c>
      <c r="O85">
        <f t="shared" si="14"/>
        <v>-0.27149384604617383</v>
      </c>
      <c r="P85">
        <f t="shared" si="10"/>
        <v>0.33049384604617382</v>
      </c>
      <c r="Q85">
        <v>-0.19326715532775565</v>
      </c>
      <c r="R85">
        <v>77862970</v>
      </c>
      <c r="S85" s="13">
        <v>16562260</v>
      </c>
      <c r="T85" s="6">
        <f>72.97864/100</f>
        <v>0.72978639999999995</v>
      </c>
      <c r="U85" s="6">
        <f t="shared" si="11"/>
        <v>0.21271035512773273</v>
      </c>
      <c r="V85" s="6">
        <f>98.6185537608301/100</f>
        <v>0.98618553760830097</v>
      </c>
      <c r="X85">
        <v>28041.8</v>
      </c>
      <c r="AA85" s="15">
        <v>5.8999999999999997E-2</v>
      </c>
      <c r="AB85">
        <v>1310398.3785760647</v>
      </c>
    </row>
    <row r="86" spans="1:28" x14ac:dyDescent="0.2">
      <c r="A86" s="2">
        <v>42005</v>
      </c>
      <c r="B86">
        <v>133666448</v>
      </c>
      <c r="C86" s="3">
        <v>100.495487183489</v>
      </c>
      <c r="D86" s="18">
        <v>26724.2</v>
      </c>
      <c r="E86" s="15">
        <v>7.3999999999999996E-2</v>
      </c>
      <c r="F86" s="15">
        <f t="shared" si="8"/>
        <v>4.4269047132901402</v>
      </c>
      <c r="G86">
        <f t="shared" si="9"/>
        <v>1330074.1331393919</v>
      </c>
      <c r="H86">
        <v>6.1238758475205586</v>
      </c>
      <c r="I86">
        <v>6.1219589699361361</v>
      </c>
      <c r="J86" s="6">
        <v>1.9168775844224939E-3</v>
      </c>
      <c r="K86" s="3">
        <v>3.6666669999999999</v>
      </c>
      <c r="L86" s="3">
        <f t="shared" si="12"/>
        <v>1.5015093795146253</v>
      </c>
      <c r="M86" s="3">
        <f t="shared" si="13"/>
        <v>6.666699999999981E-2</v>
      </c>
      <c r="N86">
        <v>99.779399999999995</v>
      </c>
      <c r="O86">
        <f t="shared" si="14"/>
        <v>3.4026611336497113E-2</v>
      </c>
      <c r="P86">
        <f t="shared" si="10"/>
        <v>3.9973388663502883E-2</v>
      </c>
      <c r="Q86">
        <v>-0.19497258220167152</v>
      </c>
      <c r="R86">
        <v>77531200</v>
      </c>
      <c r="S86" s="13">
        <v>16401670</v>
      </c>
      <c r="T86" s="6">
        <f>73.12756/100</f>
        <v>0.73127560000000003</v>
      </c>
      <c r="U86" s="6">
        <f t="shared" si="11"/>
        <v>0.21154928596487607</v>
      </c>
      <c r="V86" s="6">
        <f>100.037444574767/100</f>
        <v>1.00037444574767</v>
      </c>
      <c r="X86">
        <v>26724.2</v>
      </c>
      <c r="AA86" s="15">
        <v>7.3999999999999996E-2</v>
      </c>
      <c r="AB86">
        <v>1330074.1331393919</v>
      </c>
    </row>
    <row r="87" spans="1:28" x14ac:dyDescent="0.2">
      <c r="A87" s="2">
        <v>42095</v>
      </c>
      <c r="B87">
        <v>134544480</v>
      </c>
      <c r="C87" s="3">
        <v>100.988877268766</v>
      </c>
      <c r="D87" s="18">
        <v>26500.5</v>
      </c>
      <c r="E87" s="15">
        <v>6.0999999999999999E-2</v>
      </c>
      <c r="F87" s="15">
        <f t="shared" si="8"/>
        <v>4.4232540680950123</v>
      </c>
      <c r="G87">
        <f t="shared" si="9"/>
        <v>1332270.2820225542</v>
      </c>
      <c r="H87">
        <v>6.1245923405124456</v>
      </c>
      <c r="I87">
        <v>6.1231303300508948</v>
      </c>
      <c r="J87" s="6">
        <v>1.4620104615508112E-3</v>
      </c>
      <c r="K87" s="3">
        <v>3.5</v>
      </c>
      <c r="L87" s="3">
        <f t="shared" si="12"/>
        <v>0.16511477281185066</v>
      </c>
      <c r="M87" s="3">
        <f t="shared" si="13"/>
        <v>-0.1666669999999999</v>
      </c>
      <c r="N87">
        <v>100.1527</v>
      </c>
      <c r="O87">
        <f t="shared" si="14"/>
        <v>0.37412532045692842</v>
      </c>
      <c r="P87">
        <f t="shared" si="10"/>
        <v>-0.31312532045692842</v>
      </c>
      <c r="Q87">
        <v>-0.19545598491634236</v>
      </c>
      <c r="R87">
        <v>77364400</v>
      </c>
      <c r="S87" s="13">
        <v>16287830</v>
      </c>
      <c r="T87" s="6">
        <f>73.20766/100</f>
        <v>0.73207660000000008</v>
      </c>
      <c r="U87" s="6">
        <f t="shared" si="11"/>
        <v>0.21053391482387249</v>
      </c>
      <c r="V87" s="6">
        <f>100.193382336395/100</f>
        <v>1.0019338233639501</v>
      </c>
      <c r="X87">
        <v>26500.5</v>
      </c>
      <c r="AA87" s="15">
        <v>6.0999999999999999E-2</v>
      </c>
      <c r="AB87">
        <v>1332270.2820225542</v>
      </c>
    </row>
    <row r="88" spans="1:28" x14ac:dyDescent="0.2">
      <c r="A88" s="2">
        <v>42186</v>
      </c>
      <c r="B88">
        <v>134986496</v>
      </c>
      <c r="C88" s="3">
        <v>101.204609260262</v>
      </c>
      <c r="D88" s="18">
        <v>26501.200000000001</v>
      </c>
      <c r="E88" s="15">
        <v>7.3999999999999996E-2</v>
      </c>
      <c r="F88" s="15">
        <f t="shared" si="8"/>
        <v>4.4232655396567679</v>
      </c>
      <c r="G88">
        <f t="shared" si="9"/>
        <v>1333797.9069002983</v>
      </c>
      <c r="H88">
        <v>6.1250900315543966</v>
      </c>
      <c r="I88">
        <v>6.1242560157076955</v>
      </c>
      <c r="J88" s="6">
        <v>8.3401584670106388E-4</v>
      </c>
      <c r="K88" s="3">
        <v>3.5</v>
      </c>
      <c r="L88" s="3">
        <f t="shared" si="12"/>
        <v>0.114663285547809</v>
      </c>
      <c r="M88" s="3">
        <f t="shared" si="13"/>
        <v>0</v>
      </c>
      <c r="N88">
        <v>100.1527</v>
      </c>
      <c r="O88">
        <f t="shared" si="14"/>
        <v>0</v>
      </c>
      <c r="P88">
        <f t="shared" si="10"/>
        <v>7.3999999999999996E-2</v>
      </c>
      <c r="Q88">
        <v>-0.19530428531936408</v>
      </c>
      <c r="R88">
        <v>77182760</v>
      </c>
      <c r="S88" s="13">
        <v>16150850</v>
      </c>
      <c r="T88" s="6">
        <f>73.462/100</f>
        <v>0.73462000000000005</v>
      </c>
      <c r="U88" s="6">
        <f t="shared" si="11"/>
        <v>0.20925463147469719</v>
      </c>
      <c r="V88" s="6">
        <f>100.088595183964/100</f>
        <v>1.00088595183964</v>
      </c>
      <c r="X88">
        <v>26501.200000000001</v>
      </c>
      <c r="AA88" s="15">
        <v>7.3999999999999996E-2</v>
      </c>
      <c r="AB88">
        <v>1333797.9069002983</v>
      </c>
    </row>
    <row r="89" spans="1:28" x14ac:dyDescent="0.2">
      <c r="A89" s="2">
        <v>42278</v>
      </c>
      <c r="B89">
        <v>134831952</v>
      </c>
      <c r="C89" s="3">
        <v>101.262835381984</v>
      </c>
      <c r="D89" s="18">
        <v>27190.1</v>
      </c>
      <c r="E89" s="15">
        <v>7.5999999999999998E-2</v>
      </c>
      <c r="F89" s="15">
        <f t="shared" si="8"/>
        <v>4.4344108048426794</v>
      </c>
      <c r="G89">
        <f t="shared" si="9"/>
        <v>1331504.8061945576</v>
      </c>
      <c r="H89">
        <v>6.1243427384054581</v>
      </c>
      <c r="I89">
        <v>6.1253282323611407</v>
      </c>
      <c r="J89" s="6">
        <v>-9.8549395568259257E-4</v>
      </c>
      <c r="K89" s="3">
        <v>3.4333330000000002</v>
      </c>
      <c r="L89" s="3">
        <f t="shared" si="12"/>
        <v>-0.17192264989152889</v>
      </c>
      <c r="M89" s="3">
        <f t="shared" si="13"/>
        <v>-6.666699999999981E-2</v>
      </c>
      <c r="N89">
        <v>99.915149999999997</v>
      </c>
      <c r="O89">
        <f t="shared" si="14"/>
        <v>-0.23718781420770368</v>
      </c>
      <c r="P89">
        <f t="shared" si="10"/>
        <v>0.3131878142077037</v>
      </c>
      <c r="Q89">
        <v>-0.19493599526775984</v>
      </c>
      <c r="R89">
        <v>76958310</v>
      </c>
      <c r="S89" s="13">
        <v>16019660</v>
      </c>
      <c r="T89" s="6">
        <f>73.79321/100</f>
        <v>0.73793209999999998</v>
      </c>
      <c r="U89" s="6">
        <f t="shared" si="11"/>
        <v>0.20816023636693684</v>
      </c>
      <c r="V89" s="6">
        <f>99.6805779048737/100</f>
        <v>0.99680577904873702</v>
      </c>
      <c r="X89">
        <v>27190.1</v>
      </c>
      <c r="AA89" s="15">
        <v>7.5999999999999998E-2</v>
      </c>
      <c r="AB89">
        <v>1331504.8061945576</v>
      </c>
    </row>
    <row r="90" spans="1:28" x14ac:dyDescent="0.2">
      <c r="A90" s="2">
        <v>42370</v>
      </c>
      <c r="B90">
        <v>136312832</v>
      </c>
      <c r="C90" s="3">
        <v>101.626479833296</v>
      </c>
      <c r="D90" s="18">
        <v>27954.1</v>
      </c>
      <c r="E90" s="15">
        <v>7.3999999999999996E-2</v>
      </c>
      <c r="F90" s="15">
        <f t="shared" si="8"/>
        <v>4.4464455144331563</v>
      </c>
      <c r="G90">
        <f t="shared" si="9"/>
        <v>1341312.148404649</v>
      </c>
      <c r="H90">
        <v>6.1275298580561284</v>
      </c>
      <c r="I90">
        <v>6.1263397067257372</v>
      </c>
      <c r="J90" s="6">
        <v>1.1901513303911315E-3</v>
      </c>
      <c r="K90" s="3">
        <v>3.4</v>
      </c>
      <c r="L90" s="3">
        <f t="shared" si="12"/>
        <v>0.73656078179100337</v>
      </c>
      <c r="M90" s="3">
        <f t="shared" si="13"/>
        <v>-3.3333000000000279E-2</v>
      </c>
      <c r="N90">
        <v>99.813339999999997</v>
      </c>
      <c r="O90">
        <f t="shared" si="14"/>
        <v>-0.10189645914558544</v>
      </c>
      <c r="P90">
        <f t="shared" si="10"/>
        <v>0.17589645914558544</v>
      </c>
      <c r="Q90">
        <v>-0.1944518190563484</v>
      </c>
      <c r="R90">
        <v>76793550</v>
      </c>
      <c r="S90" s="13">
        <v>15876050</v>
      </c>
      <c r="T90" s="6">
        <f>74.0774/100</f>
        <v>0.74077399999999993</v>
      </c>
      <c r="U90" s="6">
        <f t="shared" si="11"/>
        <v>0.20673676369955549</v>
      </c>
      <c r="V90" s="6">
        <f>100.091531903244/100</f>
        <v>1.00091531903244</v>
      </c>
      <c r="X90">
        <v>27954.1</v>
      </c>
      <c r="AA90" s="15">
        <v>7.3999999999999996E-2</v>
      </c>
      <c r="AB90">
        <v>1341312.148404649</v>
      </c>
    </row>
    <row r="91" spans="1:28" x14ac:dyDescent="0.2">
      <c r="A91" s="2">
        <v>42461</v>
      </c>
      <c r="B91">
        <v>135838144</v>
      </c>
      <c r="C91" s="3">
        <v>101.436340538042</v>
      </c>
      <c r="D91" s="18">
        <v>27128.3</v>
      </c>
      <c r="E91" s="15">
        <v>-3.6999999999999998E-2</v>
      </c>
      <c r="F91" s="15">
        <f t="shared" si="8"/>
        <v>4.4334225794692399</v>
      </c>
      <c r="G91">
        <f t="shared" si="9"/>
        <v>1339146.7326155775</v>
      </c>
      <c r="H91">
        <v>6.126828166014171</v>
      </c>
      <c r="I91">
        <v>6.1272825495822705</v>
      </c>
      <c r="J91" s="6">
        <v>-4.5438356809945901E-4</v>
      </c>
      <c r="K91" s="3">
        <v>3.3333330000000001</v>
      </c>
      <c r="L91" s="3">
        <f t="shared" si="12"/>
        <v>-0.16144010860164107</v>
      </c>
      <c r="M91" s="3">
        <f t="shared" si="13"/>
        <v>-6.666699999999981E-2</v>
      </c>
      <c r="N91">
        <v>99.847269999999995</v>
      </c>
      <c r="O91">
        <f t="shared" si="14"/>
        <v>3.3993452177833158E-2</v>
      </c>
      <c r="P91">
        <f t="shared" si="10"/>
        <v>-7.099345217783315E-2</v>
      </c>
      <c r="Q91">
        <v>-0.19372069069594017</v>
      </c>
      <c r="R91">
        <v>76550440</v>
      </c>
      <c r="S91" s="13">
        <v>15777540</v>
      </c>
      <c r="T91" s="6">
        <f>74.29089/100</f>
        <v>0.74290890000000009</v>
      </c>
      <c r="U91" s="6">
        <f t="shared" si="11"/>
        <v>0.20610645738940234</v>
      </c>
      <c r="V91" s="6">
        <f>99.7463869346489/100</f>
        <v>0.99746386934648901</v>
      </c>
      <c r="X91">
        <v>27128.3</v>
      </c>
      <c r="AA91" s="15">
        <v>-3.6999999999999998E-2</v>
      </c>
      <c r="AB91">
        <v>1339146.7326155775</v>
      </c>
    </row>
    <row r="92" spans="1:28" x14ac:dyDescent="0.2">
      <c r="A92" s="2">
        <v>42552</v>
      </c>
      <c r="B92">
        <v>135906096</v>
      </c>
      <c r="C92" s="3">
        <v>101.262080356772</v>
      </c>
      <c r="D92" s="18">
        <v>27189.4</v>
      </c>
      <c r="E92" s="15">
        <v>-4.2999999999999997E-2</v>
      </c>
      <c r="F92" s="15">
        <f t="shared" si="8"/>
        <v>4.434399623933059</v>
      </c>
      <c r="G92">
        <f t="shared" si="9"/>
        <v>1342122.2981116755</v>
      </c>
      <c r="H92">
        <v>6.1277920918203428</v>
      </c>
      <c r="I92">
        <v>6.1281496155561079</v>
      </c>
      <c r="J92" s="6">
        <v>-3.5752373576514174E-4</v>
      </c>
      <c r="K92" s="3">
        <v>3.2</v>
      </c>
      <c r="L92" s="3">
        <f t="shared" si="12"/>
        <v>0.22219861525452408</v>
      </c>
      <c r="M92" s="3">
        <f t="shared" si="13"/>
        <v>-0.13333299999999992</v>
      </c>
      <c r="N92">
        <v>99.711519999999993</v>
      </c>
      <c r="O92">
        <f t="shared" si="14"/>
        <v>-0.13595764811596911</v>
      </c>
      <c r="P92">
        <f t="shared" si="10"/>
        <v>9.2957648115969113E-2</v>
      </c>
      <c r="Q92">
        <v>-0.19253438271804657</v>
      </c>
      <c r="R92">
        <v>76525120</v>
      </c>
      <c r="S92" s="13">
        <v>15698000</v>
      </c>
      <c r="T92" s="6">
        <f>74.65958/100</f>
        <v>0.74659580000000003</v>
      </c>
      <c r="U92" s="6">
        <f t="shared" si="11"/>
        <v>0.20513525493328205</v>
      </c>
      <c r="V92" s="6">
        <f>99.4042726782448/100</f>
        <v>0.99404272678244798</v>
      </c>
      <c r="X92">
        <v>27189.4</v>
      </c>
      <c r="AA92" s="15">
        <v>-4.2999999999999997E-2</v>
      </c>
      <c r="AB92">
        <v>1342122.2981116755</v>
      </c>
    </row>
    <row r="93" spans="1:28" x14ac:dyDescent="0.2">
      <c r="A93" s="2">
        <v>42644</v>
      </c>
      <c r="B93">
        <v>136136544</v>
      </c>
      <c r="C93" s="3">
        <v>101.297585689855</v>
      </c>
      <c r="D93" s="18">
        <v>27222.400000000001</v>
      </c>
      <c r="E93" s="15">
        <v>-3.6999999999999998E-2</v>
      </c>
      <c r="F93" s="15">
        <f t="shared" si="8"/>
        <v>4.434926411124807</v>
      </c>
      <c r="G93">
        <f t="shared" si="9"/>
        <v>1343926.8376722441</v>
      </c>
      <c r="H93">
        <v>6.128375626708813</v>
      </c>
      <c r="I93">
        <v>6.1289334752828868</v>
      </c>
      <c r="J93" s="6">
        <v>-5.5784857407381594E-4</v>
      </c>
      <c r="K93" s="3">
        <v>3.1666669999999999</v>
      </c>
      <c r="L93" s="3">
        <f t="shared" si="12"/>
        <v>0.13445418223864175</v>
      </c>
      <c r="M93" s="3">
        <f t="shared" si="13"/>
        <v>-3.3333000000000279E-2</v>
      </c>
      <c r="N93">
        <v>100.1527</v>
      </c>
      <c r="O93">
        <f t="shared" si="14"/>
        <v>0.44245639821758087</v>
      </c>
      <c r="P93">
        <f t="shared" si="10"/>
        <v>-0.47945639821758085</v>
      </c>
      <c r="Q93">
        <v>-0.19050549369242153</v>
      </c>
      <c r="R93">
        <v>76350900</v>
      </c>
      <c r="S93" s="13">
        <v>15615080</v>
      </c>
      <c r="T93" s="6">
        <f>74.8474/100</f>
        <v>0.74847399999999997</v>
      </c>
      <c r="U93" s="6">
        <f t="shared" si="11"/>
        <v>0.20451730104032828</v>
      </c>
      <c r="V93" s="6">
        <f>99.3929953849498/100</f>
        <v>0.993929953849498</v>
      </c>
      <c r="X93">
        <v>27222.400000000001</v>
      </c>
      <c r="AA93" s="15">
        <v>-3.6999999999999998E-2</v>
      </c>
      <c r="AB93">
        <v>1343926.8376722441</v>
      </c>
    </row>
    <row r="94" spans="1:28" x14ac:dyDescent="0.2">
      <c r="A94" s="2">
        <v>42736</v>
      </c>
      <c r="B94">
        <v>136916448</v>
      </c>
      <c r="C94" s="3">
        <v>101.100742361519</v>
      </c>
      <c r="D94" s="18">
        <v>27482</v>
      </c>
      <c r="E94" s="15">
        <v>-4.4999999999999998E-2</v>
      </c>
      <c r="F94" s="15">
        <f t="shared" si="8"/>
        <v>4.4390483352782439</v>
      </c>
      <c r="G94">
        <f t="shared" si="9"/>
        <v>1354257.5929898729</v>
      </c>
      <c r="H94">
        <v>6.1317012792486132</v>
      </c>
      <c r="I94">
        <v>6.1296264759459085</v>
      </c>
      <c r="J94" s="6">
        <v>2.0748033027047086E-3</v>
      </c>
      <c r="K94" s="3">
        <v>3.0333329999999998</v>
      </c>
      <c r="L94" s="3">
        <f t="shared" si="12"/>
        <v>0.76869923481268454</v>
      </c>
      <c r="M94" s="3">
        <f t="shared" si="13"/>
        <v>-0.13333400000000006</v>
      </c>
      <c r="N94">
        <v>100.0848</v>
      </c>
      <c r="O94">
        <f t="shared" si="14"/>
        <v>-6.7796474783000882E-2</v>
      </c>
      <c r="P94">
        <f t="shared" si="10"/>
        <v>2.2796474783000883E-2</v>
      </c>
      <c r="Q94">
        <v>-0.18742594844850621</v>
      </c>
      <c r="R94">
        <v>76236540</v>
      </c>
      <c r="S94" s="13">
        <v>15544430</v>
      </c>
      <c r="T94" s="6">
        <f>74.91596/100</f>
        <v>0.74915960000000004</v>
      </c>
      <c r="U94" s="6">
        <f t="shared" si="11"/>
        <v>0.20389736994884605</v>
      </c>
      <c r="V94" s="6">
        <f>100.165149292995/100</f>
        <v>1.00165149292995</v>
      </c>
      <c r="X94">
        <v>27482</v>
      </c>
      <c r="AA94" s="15">
        <v>-4.4999999999999998E-2</v>
      </c>
      <c r="AB94">
        <v>1354257.5929898729</v>
      </c>
    </row>
    <row r="95" spans="1:28" x14ac:dyDescent="0.2">
      <c r="A95" s="2">
        <v>42826</v>
      </c>
      <c r="B95">
        <v>137641328</v>
      </c>
      <c r="C95" s="3">
        <v>101.236722566856</v>
      </c>
      <c r="D95" s="18">
        <v>27755.5</v>
      </c>
      <c r="E95" s="15">
        <v>-5.3999999999999999E-2</v>
      </c>
      <c r="F95" s="15">
        <f t="shared" si="8"/>
        <v>4.4433490553135293</v>
      </c>
      <c r="G95">
        <f t="shared" si="9"/>
        <v>1359598.8146406326</v>
      </c>
      <c r="H95">
        <v>6.1334107772737338</v>
      </c>
      <c r="I95">
        <v>6.1302206160731165</v>
      </c>
      <c r="J95" s="6">
        <v>3.1901612006173252E-3</v>
      </c>
      <c r="K95" s="3">
        <v>3.0333329999999998</v>
      </c>
      <c r="L95" s="3">
        <f t="shared" si="12"/>
        <v>0.3944021933794416</v>
      </c>
      <c r="M95" s="3">
        <f t="shared" si="13"/>
        <v>0</v>
      </c>
      <c r="N95">
        <v>100.2885</v>
      </c>
      <c r="O95">
        <f t="shared" si="14"/>
        <v>0.20352740875737152</v>
      </c>
      <c r="P95">
        <f t="shared" si="10"/>
        <v>-0.25752740875737151</v>
      </c>
      <c r="Q95">
        <v>-0.18295435808544458</v>
      </c>
      <c r="R95">
        <v>76241450</v>
      </c>
      <c r="S95" s="13">
        <v>15481810</v>
      </c>
      <c r="T95" s="6">
        <f>75.19969/100</f>
        <v>0.75199690000000008</v>
      </c>
      <c r="U95" s="6">
        <f t="shared" si="11"/>
        <v>0.20306290082363335</v>
      </c>
      <c r="V95" s="6">
        <f>100.029670528153/100</f>
        <v>1.0002967052815301</v>
      </c>
      <c r="X95">
        <v>27755.5</v>
      </c>
      <c r="AA95" s="15">
        <v>-5.3999999999999999E-2</v>
      </c>
      <c r="AB95">
        <v>1359598.8146406326</v>
      </c>
    </row>
    <row r="96" spans="1:28" x14ac:dyDescent="0.2">
      <c r="A96" s="2">
        <v>42917</v>
      </c>
      <c r="B96">
        <v>139282256</v>
      </c>
      <c r="C96" s="3">
        <v>101.55601695845</v>
      </c>
      <c r="D96" s="18">
        <v>27204.6</v>
      </c>
      <c r="E96" s="15">
        <v>-5.3999999999999999E-2</v>
      </c>
      <c r="F96" s="15">
        <f t="shared" si="8"/>
        <v>4.434642344685229</v>
      </c>
      <c r="G96">
        <f t="shared" si="9"/>
        <v>1371482.066463724</v>
      </c>
      <c r="H96">
        <v>6.1371901331313854</v>
      </c>
      <c r="I96">
        <v>6.1307091909445157</v>
      </c>
      <c r="J96" s="6">
        <v>6.4809421868696759E-3</v>
      </c>
      <c r="K96" s="3">
        <v>2.9666670000000002</v>
      </c>
      <c r="L96" s="3">
        <f t="shared" si="12"/>
        <v>0.87402634476644347</v>
      </c>
      <c r="M96" s="3">
        <f t="shared" si="13"/>
        <v>-6.666599999999967E-2</v>
      </c>
      <c r="N96">
        <v>100.35639999999999</v>
      </c>
      <c r="O96">
        <f t="shared" si="14"/>
        <v>6.770467202121333E-2</v>
      </c>
      <c r="P96">
        <f t="shared" si="10"/>
        <v>-0.12170467202121332</v>
      </c>
      <c r="Q96">
        <v>-0.1767931471150736</v>
      </c>
      <c r="R96">
        <v>76112350</v>
      </c>
      <c r="S96" s="13">
        <v>15425510</v>
      </c>
      <c r="T96" s="6">
        <f>75.53307/100</f>
        <v>0.75533069999999991</v>
      </c>
      <c r="U96" s="6">
        <f t="shared" si="11"/>
        <v>0.20266763541002217</v>
      </c>
      <c r="V96" s="6">
        <f>100.332998597806/100</f>
        <v>1.00332998597806</v>
      </c>
      <c r="X96">
        <v>27204.6</v>
      </c>
      <c r="AA96" s="15">
        <v>-5.3999999999999999E-2</v>
      </c>
      <c r="AB96">
        <v>1371482.066463724</v>
      </c>
    </row>
    <row r="97" spans="1:28" x14ac:dyDescent="0.2">
      <c r="A97" s="2">
        <v>43009</v>
      </c>
      <c r="B97">
        <v>139199520</v>
      </c>
      <c r="C97" s="3">
        <v>101.43309026900501</v>
      </c>
      <c r="D97" s="18">
        <v>27294.7</v>
      </c>
      <c r="E97" s="15">
        <v>-3.6999999999999998E-2</v>
      </c>
      <c r="F97" s="15">
        <f t="shared" si="8"/>
        <v>4.4360783252746749</v>
      </c>
      <c r="G97">
        <f t="shared" si="9"/>
        <v>1372328.4938952047</v>
      </c>
      <c r="H97">
        <v>6.1374580807658141</v>
      </c>
      <c r="I97">
        <v>6.1310874896908629</v>
      </c>
      <c r="J97" s="6">
        <v>6.3705910749511929E-3</v>
      </c>
      <c r="K97" s="3">
        <v>2.8333330000000001</v>
      </c>
      <c r="L97" s="3">
        <f t="shared" si="12"/>
        <v>6.171625952522905E-2</v>
      </c>
      <c r="M97" s="3">
        <f t="shared" si="13"/>
        <v>-0.13333400000000006</v>
      </c>
      <c r="N97">
        <v>100.7636</v>
      </c>
      <c r="O97">
        <f t="shared" si="14"/>
        <v>0.40575389312490601</v>
      </c>
      <c r="P97">
        <f t="shared" si="10"/>
        <v>-0.44275389312490598</v>
      </c>
      <c r="Q97">
        <v>-0.16860645899544013</v>
      </c>
      <c r="R97">
        <v>75896340</v>
      </c>
      <c r="S97" s="13">
        <v>15354920</v>
      </c>
      <c r="T97" s="6">
        <f>75.8359/100</f>
        <v>0.75835900000000001</v>
      </c>
      <c r="U97" s="6">
        <f t="shared" si="11"/>
        <v>0.20231436720136967</v>
      </c>
      <c r="V97" s="6">
        <f>100.446054366134/100</f>
        <v>1.0044605436613401</v>
      </c>
      <c r="X97">
        <v>27294.7</v>
      </c>
      <c r="AA97" s="15">
        <v>-3.6999999999999998E-2</v>
      </c>
      <c r="AB97">
        <v>1372328.4938952047</v>
      </c>
    </row>
    <row r="98" spans="1:28" x14ac:dyDescent="0.2">
      <c r="A98" s="2">
        <v>43101</v>
      </c>
      <c r="B98">
        <v>139606800</v>
      </c>
      <c r="C98" s="3">
        <v>101.65740649719</v>
      </c>
      <c r="D98" s="18">
        <v>27568.7</v>
      </c>
      <c r="E98" s="15">
        <v>-0.04</v>
      </c>
      <c r="F98" s="15">
        <f t="shared" si="8"/>
        <v>4.4404162874645801</v>
      </c>
      <c r="G98">
        <f t="shared" si="9"/>
        <v>1373306.7251116524</v>
      </c>
      <c r="H98">
        <v>6.1377675468116779</v>
      </c>
      <c r="I98">
        <v>6.131354852031782</v>
      </c>
      <c r="J98" s="6">
        <v>6.4126947798959222E-3</v>
      </c>
      <c r="K98" s="3">
        <v>2.6666669999999999</v>
      </c>
      <c r="L98" s="3">
        <f t="shared" si="12"/>
        <v>7.1282584366594182E-2</v>
      </c>
      <c r="M98" s="3">
        <f t="shared" si="13"/>
        <v>-0.1666660000000002</v>
      </c>
      <c r="N98">
        <v>101.3745</v>
      </c>
      <c r="O98">
        <f t="shared" si="14"/>
        <v>0.60627051832209344</v>
      </c>
      <c r="P98">
        <f t="shared" si="10"/>
        <v>-0.64627051832209348</v>
      </c>
      <c r="Q98">
        <v>-0.15822466265084723</v>
      </c>
      <c r="R98">
        <v>75839750</v>
      </c>
      <c r="S98" s="13">
        <v>15322040</v>
      </c>
      <c r="T98" s="6">
        <f>76.44189/100</f>
        <v>0.76441890000000001</v>
      </c>
      <c r="U98" s="6">
        <f t="shared" si="11"/>
        <v>0.20203178412376097</v>
      </c>
      <c r="V98" s="6">
        <f>99.3178197117078/100</f>
        <v>0.993178197117078</v>
      </c>
      <c r="X98">
        <v>27568.7</v>
      </c>
      <c r="AA98" s="15">
        <v>-0.04</v>
      </c>
      <c r="AB98">
        <v>1373306.7251116524</v>
      </c>
    </row>
    <row r="99" spans="1:28" x14ac:dyDescent="0.2">
      <c r="A99" s="2">
        <v>43191</v>
      </c>
      <c r="B99">
        <v>139725248</v>
      </c>
      <c r="C99" s="3">
        <v>101.353704364991</v>
      </c>
      <c r="D99" s="18">
        <v>27881.5</v>
      </c>
      <c r="E99" s="15">
        <v>-6.3E-2</v>
      </c>
      <c r="F99" s="15">
        <f t="shared" si="8"/>
        <v>4.4453161347128809</v>
      </c>
      <c r="G99">
        <f t="shared" si="9"/>
        <v>1378590.4410245025</v>
      </c>
      <c r="H99">
        <v>6.1394352628244206</v>
      </c>
      <c r="I99">
        <v>6.1315145993063194</v>
      </c>
      <c r="J99" s="6">
        <v>7.9206635181012786E-3</v>
      </c>
      <c r="K99" s="3">
        <v>2.5</v>
      </c>
      <c r="L99" s="3">
        <f t="shared" si="12"/>
        <v>0.38474404998057021</v>
      </c>
      <c r="M99" s="3">
        <f t="shared" si="13"/>
        <v>-0.1666669999999999</v>
      </c>
      <c r="N99">
        <v>100.96720000000001</v>
      </c>
      <c r="O99">
        <f t="shared" si="14"/>
        <v>-0.40177756733694597</v>
      </c>
      <c r="P99">
        <f t="shared" ref="P99:P111" si="15">E99-O99</f>
        <v>0.33877756733694597</v>
      </c>
      <c r="Q99">
        <v>-0.14577666704267703</v>
      </c>
      <c r="R99">
        <v>75781990</v>
      </c>
      <c r="S99" s="13">
        <v>15311280</v>
      </c>
      <c r="T99" s="6">
        <f>76.91801/100</f>
        <v>0.76918009999999992</v>
      </c>
      <c r="U99" s="6">
        <f t="shared" si="11"/>
        <v>0.2020437837538972</v>
      </c>
      <c r="V99" s="6">
        <f>99.1224718883547/100</f>
        <v>0.99122471888354691</v>
      </c>
      <c r="X99">
        <v>27881.5</v>
      </c>
      <c r="AA99" s="15">
        <v>-6.3E-2</v>
      </c>
      <c r="AB99">
        <v>1378590.4410245025</v>
      </c>
    </row>
    <row r="100" spans="1:28" x14ac:dyDescent="0.2">
      <c r="A100" s="2">
        <v>43282</v>
      </c>
      <c r="B100">
        <v>138839856</v>
      </c>
      <c r="C100" s="3">
        <v>101.216856082449</v>
      </c>
      <c r="D100" s="18">
        <v>27668.799999999999</v>
      </c>
      <c r="E100" s="15">
        <v>-7.0000000000000007E-2</v>
      </c>
      <c r="F100" s="15">
        <f t="shared" si="8"/>
        <v>4.4419903241326617</v>
      </c>
      <c r="G100">
        <f t="shared" si="9"/>
        <v>1371706.8616209948</v>
      </c>
      <c r="H100">
        <v>6.1372613110918826</v>
      </c>
      <c r="I100">
        <v>6.1315740607877585</v>
      </c>
      <c r="J100" s="6">
        <v>5.6872503041240918E-3</v>
      </c>
      <c r="K100" s="3">
        <v>2.5666669999999998</v>
      </c>
      <c r="L100" s="3">
        <f t="shared" si="12"/>
        <v>-0.49932011703143747</v>
      </c>
      <c r="M100" s="3">
        <f t="shared" si="13"/>
        <v>6.666699999999981E-2</v>
      </c>
      <c r="N100">
        <v>101.47629999999999</v>
      </c>
      <c r="O100">
        <f t="shared" si="14"/>
        <v>0.50422315365781101</v>
      </c>
      <c r="P100">
        <f t="shared" si="15"/>
        <v>-0.57422315365781107</v>
      </c>
      <c r="Q100">
        <v>-0.13108075473856937</v>
      </c>
      <c r="R100">
        <v>75625240</v>
      </c>
      <c r="S100" s="13">
        <v>15263430</v>
      </c>
      <c r="T100" s="6">
        <f>77.03336/100</f>
        <v>0.77033360000000006</v>
      </c>
      <c r="U100" s="6">
        <f t="shared" si="11"/>
        <v>0.20182983882100738</v>
      </c>
      <c r="V100" s="6">
        <f>98.5984228112029/100</f>
        <v>0.9859842281120289</v>
      </c>
      <c r="X100">
        <v>27668.799999999999</v>
      </c>
      <c r="AA100" s="15">
        <v>-7.0000000000000007E-2</v>
      </c>
      <c r="AB100">
        <v>1371706.8616209948</v>
      </c>
    </row>
    <row r="101" spans="1:28" x14ac:dyDescent="0.2">
      <c r="A101" s="2">
        <v>43374</v>
      </c>
      <c r="B101">
        <v>138362752</v>
      </c>
      <c r="C101" s="3">
        <v>101.106660754147</v>
      </c>
      <c r="D101" s="18">
        <v>27266.799999999999</v>
      </c>
      <c r="E101" s="15">
        <v>-0.06</v>
      </c>
      <c r="F101" s="15">
        <f t="shared" si="8"/>
        <v>4.4356341726358659</v>
      </c>
      <c r="G101">
        <f t="shared" si="9"/>
        <v>1368483.055102034</v>
      </c>
      <c r="H101">
        <v>6.1362394242370133</v>
      </c>
      <c r="I101">
        <v>6.1315455161640813</v>
      </c>
      <c r="J101" s="6">
        <v>4.6939080729320182E-3</v>
      </c>
      <c r="K101" s="3">
        <v>2.6</v>
      </c>
      <c r="L101" s="3">
        <f t="shared" si="12"/>
        <v>-0.23502153478703586</v>
      </c>
      <c r="M101" s="3">
        <f t="shared" si="13"/>
        <v>3.3333000000000279E-2</v>
      </c>
      <c r="N101">
        <v>101.6121</v>
      </c>
      <c r="O101">
        <f t="shared" si="14"/>
        <v>0.13382435110464538</v>
      </c>
      <c r="P101">
        <f t="shared" si="15"/>
        <v>-0.19382435110464538</v>
      </c>
      <c r="Q101">
        <v>-0.11422298736029851</v>
      </c>
      <c r="R101">
        <v>75453020</v>
      </c>
      <c r="S101" s="13">
        <v>15229910</v>
      </c>
      <c r="T101" s="6">
        <f>77.37706/100</f>
        <v>0.77377059999999998</v>
      </c>
      <c r="U101" s="6">
        <f t="shared" si="11"/>
        <v>0.20184626142200804</v>
      </c>
      <c r="V101" s="6">
        <f>98.0450359051107/100</f>
        <v>0.98045035905110689</v>
      </c>
      <c r="X101">
        <v>27266.799999999999</v>
      </c>
      <c r="AA101" s="15">
        <v>-0.06</v>
      </c>
      <c r="AB101">
        <v>1368483.055102034</v>
      </c>
    </row>
    <row r="102" spans="1:28" x14ac:dyDescent="0.2">
      <c r="A102" s="2">
        <v>43466</v>
      </c>
      <c r="B102">
        <v>139711248</v>
      </c>
      <c r="C102" s="3">
        <v>101.851117341158</v>
      </c>
      <c r="D102" s="18">
        <v>27896.5</v>
      </c>
      <c r="E102" s="15">
        <v>-6.4000000000000001E-2</v>
      </c>
      <c r="F102" s="15">
        <f t="shared" si="8"/>
        <v>4.4455497184694011</v>
      </c>
      <c r="G102">
        <f t="shared" si="9"/>
        <v>1371720.3271519018</v>
      </c>
      <c r="H102">
        <v>6.1372655743767206</v>
      </c>
      <c r="I102">
        <v>6.1314447996547106</v>
      </c>
      <c r="J102" s="6">
        <v>5.8207747220100359E-3</v>
      </c>
      <c r="K102" s="3">
        <v>2.6</v>
      </c>
      <c r="L102" s="3">
        <f t="shared" si="12"/>
        <v>0.23655916219045989</v>
      </c>
      <c r="M102" s="3">
        <f t="shared" si="13"/>
        <v>0</v>
      </c>
      <c r="N102">
        <v>101.57810000000001</v>
      </c>
      <c r="O102">
        <f t="shared" si="14"/>
        <v>-3.3460581958242981E-2</v>
      </c>
      <c r="P102">
        <f t="shared" si="15"/>
        <v>-3.053941804175702E-2</v>
      </c>
      <c r="Q102">
        <v>-9.5328641277367551E-2</v>
      </c>
      <c r="R102">
        <v>75366200</v>
      </c>
      <c r="S102" s="13">
        <v>15228080</v>
      </c>
      <c r="T102" s="6">
        <f>77.51928/100</f>
        <v>0.7751927999999999</v>
      </c>
      <c r="U102" s="6">
        <f t="shared" si="11"/>
        <v>0.20205450188546059</v>
      </c>
      <c r="V102" s="6">
        <f>98.1049548869452/100</f>
        <v>0.98104954886945195</v>
      </c>
      <c r="X102">
        <v>27896.5</v>
      </c>
      <c r="AA102" s="15">
        <v>-6.4000000000000001E-2</v>
      </c>
      <c r="AB102">
        <v>1371720.3271519018</v>
      </c>
    </row>
    <row r="103" spans="1:28" x14ac:dyDescent="0.2">
      <c r="A103" s="2">
        <v>43556</v>
      </c>
      <c r="B103">
        <v>140220768</v>
      </c>
      <c r="C103" s="3">
        <v>101.771524782033</v>
      </c>
      <c r="D103" s="18">
        <v>28320.5</v>
      </c>
      <c r="E103" s="15">
        <v>-6.8000000000000005E-2</v>
      </c>
      <c r="F103" s="15">
        <f t="shared" si="8"/>
        <v>4.4521009165786083</v>
      </c>
      <c r="G103">
        <f t="shared" si="9"/>
        <v>1377799.6183147973</v>
      </c>
      <c r="H103">
        <v>6.1391860601056338</v>
      </c>
      <c r="I103">
        <v>6.131290679171614</v>
      </c>
      <c r="J103" s="6">
        <v>7.8953809340198688E-3</v>
      </c>
      <c r="K103" s="3">
        <v>2.5</v>
      </c>
      <c r="L103" s="3">
        <f t="shared" si="12"/>
        <v>0.44318736425798366</v>
      </c>
      <c r="M103" s="3">
        <f t="shared" si="13"/>
        <v>-0.10000000000000009</v>
      </c>
      <c r="N103">
        <v>101.7478</v>
      </c>
      <c r="O103">
        <f t="shared" si="14"/>
        <v>0.16706356980490059</v>
      </c>
      <c r="P103">
        <f t="shared" si="15"/>
        <v>-0.23506356980490059</v>
      </c>
      <c r="Q103">
        <v>-7.447069062845546E-2</v>
      </c>
      <c r="R103">
        <v>75391100</v>
      </c>
      <c r="S103" s="13">
        <v>15238980</v>
      </c>
      <c r="T103" s="6">
        <f>77.7059/100</f>
        <v>0.77705899999999994</v>
      </c>
      <c r="U103" s="6">
        <f t="shared" si="11"/>
        <v>0.20213234718686954</v>
      </c>
      <c r="V103" s="6">
        <f>98.2614415671749/100</f>
        <v>0.98261441567174901</v>
      </c>
      <c r="X103">
        <v>28320.5</v>
      </c>
      <c r="AA103" s="15">
        <v>-6.8000000000000005E-2</v>
      </c>
      <c r="AB103">
        <v>1377799.6183147973</v>
      </c>
    </row>
    <row r="104" spans="1:28" x14ac:dyDescent="0.2">
      <c r="A104" s="2">
        <v>43647</v>
      </c>
      <c r="B104">
        <v>140364544</v>
      </c>
      <c r="C104" s="3">
        <v>101.68642271105</v>
      </c>
      <c r="D104" s="18">
        <v>28133</v>
      </c>
      <c r="E104" s="15">
        <v>-7.0999999999999994E-2</v>
      </c>
      <c r="F104" s="15">
        <f t="shared" si="8"/>
        <v>4.4492160462062911</v>
      </c>
      <c r="G104">
        <f t="shared" si="9"/>
        <v>1380366.6237611382</v>
      </c>
      <c r="H104">
        <v>6.1399944498286612</v>
      </c>
      <c r="I104">
        <v>6.131105560610961</v>
      </c>
      <c r="J104" s="6">
        <v>8.8888892177001466E-3</v>
      </c>
      <c r="K104" s="3">
        <v>2.3666670000000001</v>
      </c>
      <c r="L104" s="3">
        <f t="shared" si="12"/>
        <v>0.18631195801031089</v>
      </c>
      <c r="M104" s="3">
        <f t="shared" si="13"/>
        <v>-0.13333299999999992</v>
      </c>
      <c r="N104">
        <v>101.7818</v>
      </c>
      <c r="O104">
        <f t="shared" si="14"/>
        <v>3.3415955922394415E-2</v>
      </c>
      <c r="P104">
        <f t="shared" si="15"/>
        <v>-0.10441595592239442</v>
      </c>
      <c r="Q104">
        <v>-5.1809443882570923E-2</v>
      </c>
      <c r="R104">
        <v>75283950</v>
      </c>
      <c r="S104" s="13">
        <v>15218340</v>
      </c>
      <c r="T104" s="6">
        <f>77.92719/100</f>
        <v>0.77927189999999991</v>
      </c>
      <c r="U104" s="6">
        <f t="shared" si="11"/>
        <v>0.20214587571454473</v>
      </c>
      <c r="V104" s="6">
        <f>98.171736112767/100</f>
        <v>0.98171736112766994</v>
      </c>
      <c r="X104">
        <v>28133</v>
      </c>
      <c r="AA104" s="15">
        <v>-7.0999999999999994E-2</v>
      </c>
      <c r="AB104">
        <v>1380366.6237611382</v>
      </c>
    </row>
    <row r="105" spans="1:28" x14ac:dyDescent="0.2">
      <c r="A105" s="2">
        <v>43739</v>
      </c>
      <c r="B105">
        <v>137520224</v>
      </c>
      <c r="C105" s="3">
        <v>102.598542910359</v>
      </c>
      <c r="D105" s="18">
        <v>28046.5</v>
      </c>
      <c r="E105" s="15">
        <v>-2.1999999999999999E-2</v>
      </c>
      <c r="F105" s="15">
        <f t="shared" si="8"/>
        <v>4.4478786721687529</v>
      </c>
      <c r="G105">
        <f t="shared" si="9"/>
        <v>1340372.0959288115</v>
      </c>
      <c r="H105">
        <v>6.1272253780484309</v>
      </c>
      <c r="I105">
        <v>6.1309167844820056</v>
      </c>
      <c r="J105" s="6">
        <v>-3.6914064335746843E-3</v>
      </c>
      <c r="K105" s="3">
        <v>2.4</v>
      </c>
      <c r="L105" s="3">
        <f t="shared" si="12"/>
        <v>-2.8973844443842087</v>
      </c>
      <c r="M105" s="3">
        <f t="shared" si="13"/>
        <v>3.3332999999999835E-2</v>
      </c>
      <c r="N105">
        <v>102.18899999999999</v>
      </c>
      <c r="O105">
        <f t="shared" si="14"/>
        <v>0.40007152555760356</v>
      </c>
      <c r="P105">
        <f t="shared" si="15"/>
        <v>-0.42207152555760358</v>
      </c>
      <c r="Q105">
        <v>-2.7523925299531345E-2</v>
      </c>
      <c r="R105">
        <v>75205420</v>
      </c>
      <c r="S105" s="13">
        <v>15274600</v>
      </c>
      <c r="T105" s="6">
        <f>78.09721/100</f>
        <v>0.78097210000000006</v>
      </c>
      <c r="U105" s="6">
        <f t="shared" si="11"/>
        <v>0.20310504216318451</v>
      </c>
      <c r="V105" s="6">
        <f>95.0694518172613/100</f>
        <v>0.95069451817261297</v>
      </c>
      <c r="X105">
        <v>28046.5</v>
      </c>
      <c r="AA105" s="15">
        <v>-2.1999999999999999E-2</v>
      </c>
      <c r="AB105">
        <v>1340372.0959288115</v>
      </c>
    </row>
    <row r="106" spans="1:28" x14ac:dyDescent="0.2">
      <c r="A106" s="2">
        <v>43831</v>
      </c>
      <c r="B106">
        <v>138642928</v>
      </c>
      <c r="C106" s="3">
        <v>102.878444941193</v>
      </c>
      <c r="D106" s="18">
        <v>27983.1</v>
      </c>
      <c r="E106" s="15">
        <v>-3.2000000000000001E-2</v>
      </c>
      <c r="F106" s="15">
        <f t="shared" si="8"/>
        <v>4.4468958244631027</v>
      </c>
      <c r="G106">
        <f t="shared" si="9"/>
        <v>1347638.2548283129</v>
      </c>
      <c r="H106">
        <v>6.1295733306149858</v>
      </c>
      <c r="I106">
        <v>6.1307572468497638</v>
      </c>
      <c r="J106" s="6">
        <v>-1.1839162347779819E-3</v>
      </c>
      <c r="K106" s="3">
        <v>2.5666669999999998</v>
      </c>
      <c r="L106" s="3">
        <f t="shared" si="12"/>
        <v>0.54210013186423012</v>
      </c>
      <c r="M106" s="3">
        <f t="shared" si="13"/>
        <v>0.1666669999999999</v>
      </c>
      <c r="N106">
        <v>102.223</v>
      </c>
      <c r="O106">
        <f t="shared" si="14"/>
        <v>3.3271682862153484E-2</v>
      </c>
      <c r="P106">
        <f t="shared" si="15"/>
        <v>-6.5271682862153485E-2</v>
      </c>
      <c r="Q106">
        <v>-2.0245729402010321E-3</v>
      </c>
      <c r="R106">
        <v>75046290</v>
      </c>
      <c r="S106" s="13">
        <v>15279940</v>
      </c>
      <c r="T106" s="6">
        <f>78.06737/100</f>
        <v>0.78067369999999991</v>
      </c>
      <c r="U106" s="6">
        <f t="shared" si="11"/>
        <v>0.20360686717491297</v>
      </c>
      <c r="V106" s="6">
        <f>95.7949963300795/100</f>
        <v>0.95794996330079496</v>
      </c>
      <c r="X106">
        <v>27983.1</v>
      </c>
      <c r="AA106" s="15">
        <v>-3.2000000000000001E-2</v>
      </c>
      <c r="AB106">
        <v>1347638.2548283129</v>
      </c>
    </row>
    <row r="107" spans="1:28" x14ac:dyDescent="0.2">
      <c r="A107" s="2">
        <v>43922</v>
      </c>
      <c r="B107">
        <v>128474496</v>
      </c>
      <c r="C107" s="3">
        <v>103.182544080879</v>
      </c>
      <c r="D107" s="18">
        <v>29862.400000000001</v>
      </c>
      <c r="E107" s="15">
        <v>-3.5999999999999997E-2</v>
      </c>
      <c r="F107" s="15">
        <f t="shared" si="8"/>
        <v>4.4751247084416201</v>
      </c>
      <c r="G107">
        <f t="shared" si="9"/>
        <v>1245118.5144194164</v>
      </c>
      <c r="H107">
        <v>6.0952106909568577</v>
      </c>
      <c r="I107">
        <v>6.1306575366502303</v>
      </c>
      <c r="J107" s="6">
        <v>-3.5446845693372531E-2</v>
      </c>
      <c r="K107" s="3">
        <v>2.8666670000000001</v>
      </c>
      <c r="L107" s="11">
        <f t="shared" si="12"/>
        <v>-7.6073634776683692</v>
      </c>
      <c r="M107" s="11">
        <f t="shared" si="13"/>
        <v>0.30000000000000027</v>
      </c>
      <c r="N107">
        <v>101.9175</v>
      </c>
      <c r="O107">
        <f t="shared" si="14"/>
        <v>-0.29885642174461224</v>
      </c>
      <c r="P107">
        <f t="shared" si="15"/>
        <v>0.26285642174461227</v>
      </c>
      <c r="Q107">
        <v>2.4254582786079074E-2</v>
      </c>
      <c r="R107">
        <v>75062710</v>
      </c>
      <c r="S107" s="13">
        <v>15288790</v>
      </c>
      <c r="T107" s="6">
        <f>77.08665/100</f>
        <v>0.77086650000000001</v>
      </c>
      <c r="U107" s="6">
        <f t="shared" si="11"/>
        <v>0.20368022950410397</v>
      </c>
      <c r="V107" s="6">
        <f>89.6437496559034/100</f>
        <v>0.89643749655903404</v>
      </c>
      <c r="X107">
        <v>29862.400000000001</v>
      </c>
      <c r="AA107" s="15">
        <v>-3.5999999999999997E-2</v>
      </c>
      <c r="AB107">
        <v>1245118.5144194164</v>
      </c>
    </row>
    <row r="108" spans="1:28" x14ac:dyDescent="0.2">
      <c r="A108" s="2">
        <v>44013</v>
      </c>
      <c r="B108">
        <v>135046800</v>
      </c>
      <c r="C108" s="3">
        <v>102.902839384934</v>
      </c>
      <c r="D108" s="18">
        <v>29343.5</v>
      </c>
      <c r="E108" s="15">
        <v>-2.8000000000000001E-2</v>
      </c>
      <c r="F108" s="15">
        <f t="shared" si="8"/>
        <v>4.4675119138709594</v>
      </c>
      <c r="G108">
        <f t="shared" si="9"/>
        <v>1312371.9501541003</v>
      </c>
      <c r="H108">
        <v>6.1180569394650952</v>
      </c>
      <c r="I108">
        <v>6.1306475028717546</v>
      </c>
      <c r="J108" s="6">
        <v>-1.2590563406659427E-2</v>
      </c>
      <c r="K108" s="3">
        <v>3.1</v>
      </c>
      <c r="L108" s="11">
        <f t="shared" si="12"/>
        <v>5.4013682196383801</v>
      </c>
      <c r="M108" s="11">
        <f t="shared" si="13"/>
        <v>0.23333300000000001</v>
      </c>
      <c r="N108">
        <v>101.81570000000001</v>
      </c>
      <c r="O108">
        <f t="shared" si="14"/>
        <v>-9.988471067284542E-2</v>
      </c>
      <c r="P108">
        <f t="shared" si="15"/>
        <v>7.1884710672845423E-2</v>
      </c>
      <c r="Q108">
        <v>5.104506209164604E-2</v>
      </c>
      <c r="R108">
        <v>74884070</v>
      </c>
      <c r="S108" s="13">
        <v>15327500</v>
      </c>
      <c r="T108" s="6">
        <f>77.16817/100</f>
        <v>0.77168170000000003</v>
      </c>
      <c r="U108" s="6">
        <f t="shared" si="11"/>
        <v>0.20468305208303983</v>
      </c>
      <c r="V108" s="6">
        <f>94.381212734008/100</f>
        <v>0.94381212734008002</v>
      </c>
      <c r="X108">
        <v>29343.5</v>
      </c>
      <c r="AA108" s="15">
        <v>-2.8000000000000001E-2</v>
      </c>
      <c r="AB108">
        <v>1312371.9501541003</v>
      </c>
    </row>
    <row r="109" spans="1:28" x14ac:dyDescent="0.2">
      <c r="A109" s="2">
        <v>44105</v>
      </c>
      <c r="B109">
        <v>137232144</v>
      </c>
      <c r="C109" s="3">
        <v>102.799335414118</v>
      </c>
      <c r="D109" s="18">
        <v>29470.799999999999</v>
      </c>
      <c r="E109" s="15">
        <v>-0.02</v>
      </c>
      <c r="F109" s="15">
        <f t="shared" si="8"/>
        <v>4.4693919251566712</v>
      </c>
      <c r="G109">
        <f t="shared" si="9"/>
        <v>1334951.6652726643</v>
      </c>
      <c r="H109">
        <v>6.1254655414418808</v>
      </c>
      <c r="I109">
        <v>6.1307348402241271</v>
      </c>
      <c r="J109" s="6">
        <v>-5.2692987822462456E-3</v>
      </c>
      <c r="K109" s="3">
        <v>3.233333</v>
      </c>
      <c r="L109" s="3">
        <f t="shared" si="12"/>
        <v>1.7205271048282182</v>
      </c>
      <c r="M109" s="3">
        <f t="shared" si="13"/>
        <v>0.13333299999999992</v>
      </c>
      <c r="N109">
        <v>101.34059999999999</v>
      </c>
      <c r="O109">
        <f t="shared" si="14"/>
        <v>-0.4666274454725664</v>
      </c>
      <c r="P109">
        <f t="shared" si="15"/>
        <v>0.44662744547256639</v>
      </c>
      <c r="Q109">
        <v>7.8108154018766168E-2</v>
      </c>
      <c r="R109">
        <v>74953590</v>
      </c>
      <c r="S109" s="13">
        <v>15397100</v>
      </c>
      <c r="T109" s="6">
        <f>77.4746/100</f>
        <v>0.77474599999999993</v>
      </c>
      <c r="U109" s="6">
        <f t="shared" si="11"/>
        <v>0.20542178166516106</v>
      </c>
      <c r="V109" s="6">
        <f>95.5609729698582/100</f>
        <v>0.95560972969858193</v>
      </c>
      <c r="X109">
        <v>29470.799999999999</v>
      </c>
      <c r="AA109" s="15">
        <v>-0.02</v>
      </c>
      <c r="AB109">
        <v>1334951.6652726643</v>
      </c>
    </row>
    <row r="110" spans="1:28" x14ac:dyDescent="0.2">
      <c r="A110" s="2">
        <v>44197</v>
      </c>
      <c r="B110">
        <v>137792720</v>
      </c>
      <c r="C110" s="3">
        <v>102.915035067719</v>
      </c>
      <c r="D110" s="18">
        <v>29269.4</v>
      </c>
      <c r="E110" s="15">
        <v>-1.7000000000000001E-2</v>
      </c>
      <c r="F110" s="15">
        <f t="shared" si="8"/>
        <v>4.4664138198249788</v>
      </c>
      <c r="G110">
        <f t="shared" si="9"/>
        <v>1338897.8579206739</v>
      </c>
      <c r="H110">
        <v>6.1267474467405822</v>
      </c>
      <c r="I110">
        <v>6.1309193743150097</v>
      </c>
      <c r="J110" s="6">
        <v>-4.1719275744274142E-3</v>
      </c>
      <c r="K110" s="3">
        <v>3.0333329999999998</v>
      </c>
      <c r="L110" s="3">
        <f t="shared" si="12"/>
        <v>0.29560565754293577</v>
      </c>
      <c r="M110" s="3">
        <f t="shared" si="13"/>
        <v>-0.20000000000000018</v>
      </c>
      <c r="N110">
        <v>101.7139</v>
      </c>
      <c r="O110">
        <f t="shared" si="14"/>
        <v>0.3683617424803094</v>
      </c>
      <c r="P110">
        <f t="shared" si="15"/>
        <v>-0.38536174248030941</v>
      </c>
      <c r="Q110">
        <v>0.10545238659931884</v>
      </c>
      <c r="R110">
        <v>74790300</v>
      </c>
      <c r="S110" s="13">
        <v>15346040</v>
      </c>
      <c r="T110" s="6">
        <f>77.77301/100</f>
        <v>0.77773009999999998</v>
      </c>
      <c r="U110" s="6">
        <f t="shared" si="11"/>
        <v>0.20518757111550562</v>
      </c>
      <c r="V110" s="6">
        <f>95.6937288433446/100</f>
        <v>0.95693728843344605</v>
      </c>
      <c r="X110">
        <v>29269.4</v>
      </c>
      <c r="AA110" s="15">
        <v>-1.7000000000000001E-2</v>
      </c>
      <c r="AB110">
        <v>1338897.8579206739</v>
      </c>
    </row>
    <row r="111" spans="1:28" x14ac:dyDescent="0.2">
      <c r="A111" s="2">
        <v>44287</v>
      </c>
      <c r="B111">
        <v>138513872</v>
      </c>
      <c r="C111" s="3">
        <v>102.78584604109101</v>
      </c>
      <c r="D111" s="18">
        <v>28497.200000000001</v>
      </c>
      <c r="E111" s="15">
        <v>-1.2E-2</v>
      </c>
      <c r="F111" s="15">
        <f t="shared" si="8"/>
        <v>4.4548021903843775</v>
      </c>
      <c r="G111">
        <f t="shared" si="9"/>
        <v>1347596.7493094904</v>
      </c>
      <c r="H111">
        <v>6.1295599546995145</v>
      </c>
      <c r="I111">
        <v>6.1311976374403256</v>
      </c>
      <c r="J111" s="6">
        <v>-1.6376827408111083E-3</v>
      </c>
      <c r="K111" s="3">
        <v>3.0333329999999998</v>
      </c>
      <c r="L111" s="3">
        <f t="shared" si="12"/>
        <v>0.64970537799843964</v>
      </c>
      <c r="M111" s="3">
        <f t="shared" si="13"/>
        <v>0</v>
      </c>
      <c r="N111">
        <v>101.1369</v>
      </c>
      <c r="O111">
        <f t="shared" si="14"/>
        <v>-0.56727743209138404</v>
      </c>
      <c r="P111">
        <f t="shared" si="15"/>
        <v>0.55527743209138403</v>
      </c>
      <c r="Q111" t="e">
        <v>#N/A</v>
      </c>
      <c r="R111">
        <v>74603490</v>
      </c>
      <c r="S111" s="13">
        <v>15258760</v>
      </c>
      <c r="T111" s="6">
        <f>77.80244/100</f>
        <v>0.77802440000000006</v>
      </c>
      <c r="U111" s="6">
        <f t="shared" si="11"/>
        <v>0.2045314502042733</v>
      </c>
      <c r="V111" s="6">
        <f>96.4283485026262/100</f>
        <v>0.96428348502626204</v>
      </c>
      <c r="X111">
        <v>28497.200000000001</v>
      </c>
      <c r="AA111" s="15">
        <v>-1.2E-2</v>
      </c>
      <c r="AB111">
        <v>1347596.7493094904</v>
      </c>
    </row>
    <row r="112" spans="1:28" x14ac:dyDescent="0.2">
      <c r="A112" s="2">
        <v>44378</v>
      </c>
      <c r="B112">
        <v>137804368</v>
      </c>
      <c r="C112" s="3">
        <v>102.706271560031</v>
      </c>
      <c r="D112" s="18">
        <v>28016.3</v>
      </c>
      <c r="E112" s="15">
        <v>-3.5999999999999997E-2</v>
      </c>
      <c r="F112" s="15">
        <f t="shared" si="8"/>
        <v>4.4474107792122073</v>
      </c>
      <c r="G112">
        <f t="shared" si="9"/>
        <v>1341732.7482232128</v>
      </c>
      <c r="H112">
        <v>6.127666019908669</v>
      </c>
      <c r="I112">
        <v>6.1315635544412626</v>
      </c>
      <c r="J112" s="6">
        <v>-3.8975345325935606E-3</v>
      </c>
      <c r="K112" s="3">
        <v>2.9</v>
      </c>
      <c r="L112" s="3">
        <f t="shared" si="12"/>
        <v>-0.43514508990040029</v>
      </c>
      <c r="M112" s="3">
        <f t="shared" si="13"/>
        <v>-0.13333299999999992</v>
      </c>
      <c r="R112">
        <v>74476880</v>
      </c>
      <c r="S112" s="13">
        <v>15198370</v>
      </c>
      <c r="T112" s="6">
        <f>78.00631/100</f>
        <v>0.78006310000000001</v>
      </c>
      <c r="U112" s="6">
        <f t="shared" si="11"/>
        <v>0.20406829609403615</v>
      </c>
      <c r="V112" s="6">
        <f>95.8531860327112/100</f>
        <v>0.95853186032711202</v>
      </c>
      <c r="X112">
        <v>28016.3</v>
      </c>
      <c r="AA112" s="15">
        <v>-3.5999999999999997E-2</v>
      </c>
      <c r="AB112">
        <v>1341732.7482232128</v>
      </c>
    </row>
    <row r="113" spans="1:28" x14ac:dyDescent="0.2">
      <c r="A113" s="2">
        <v>44470</v>
      </c>
      <c r="B113">
        <v>139113200</v>
      </c>
      <c r="C113" s="3">
        <v>102.49328860061399</v>
      </c>
      <c r="D113" s="18">
        <v>27659.7</v>
      </c>
      <c r="E113" s="15">
        <v>-2.7E-2</v>
      </c>
      <c r="F113" s="15">
        <f t="shared" si="8"/>
        <v>4.4418474653954494</v>
      </c>
      <c r="G113">
        <f t="shared" si="9"/>
        <v>1357290.8226418898</v>
      </c>
      <c r="H113">
        <v>6.1326729126091637</v>
      </c>
      <c r="I113">
        <v>6.1320100266072952</v>
      </c>
      <c r="J113" s="6">
        <v>6.6288600186847901E-4</v>
      </c>
      <c r="K113" s="3">
        <v>2.9</v>
      </c>
      <c r="L113" s="3">
        <f t="shared" si="12"/>
        <v>1.1595509194569313</v>
      </c>
      <c r="M113" s="3">
        <f t="shared" si="13"/>
        <v>0</v>
      </c>
      <c r="R113">
        <v>74192660</v>
      </c>
      <c r="S113" s="13">
        <v>15143490</v>
      </c>
      <c r="T113" s="6">
        <f>77.92774/100</f>
        <v>0.77927740000000001</v>
      </c>
      <c r="U113" s="6">
        <f t="shared" si="11"/>
        <v>0.20411035269526662</v>
      </c>
      <c r="V113" s="6">
        <f>97.2617593280583/100</f>
        <v>0.97261759328058306</v>
      </c>
      <c r="X113">
        <v>27659.7</v>
      </c>
      <c r="AA113" s="15">
        <v>-2.7E-2</v>
      </c>
      <c r="AB113">
        <v>1357290.8226418898</v>
      </c>
    </row>
    <row r="114" spans="1:28" x14ac:dyDescent="0.2">
      <c r="A114" s="2">
        <v>44562</v>
      </c>
      <c r="B114">
        <v>139165104</v>
      </c>
      <c r="C114" s="3">
        <v>103.197015483472</v>
      </c>
      <c r="D114" s="18">
        <v>26506.3</v>
      </c>
      <c r="E114" s="15">
        <v>-0.02</v>
      </c>
      <c r="F114" s="15">
        <f t="shared" si="8"/>
        <v>4.4233491090333477</v>
      </c>
      <c r="G114">
        <f t="shared" si="9"/>
        <v>1348538.0691294181</v>
      </c>
      <c r="H114">
        <v>6.1298632110628954</v>
      </c>
      <c r="I114">
        <v>6.1325275192688151</v>
      </c>
      <c r="J114" s="6">
        <v>-2.6643082059196743E-3</v>
      </c>
      <c r="K114" s="3">
        <v>2.8333330000000001</v>
      </c>
      <c r="L114" s="3">
        <f t="shared" si="12"/>
        <v>-0.64486942418390047</v>
      </c>
      <c r="M114" s="3">
        <f t="shared" si="13"/>
        <v>-6.666699999999981E-2</v>
      </c>
      <c r="R114">
        <v>74220140</v>
      </c>
      <c r="S114" s="13">
        <v>15270690</v>
      </c>
      <c r="T114" s="6">
        <f>78.10099/100</f>
        <v>0.78100989999999992</v>
      </c>
      <c r="U114" s="6">
        <f t="shared" si="11"/>
        <v>0.20574860139040427</v>
      </c>
      <c r="V114" s="6">
        <f>96.4892740890516/100</f>
        <v>0.96489274089051602</v>
      </c>
      <c r="X114">
        <v>26506.3</v>
      </c>
      <c r="AA114" s="15">
        <v>-0.02</v>
      </c>
      <c r="AB114">
        <v>1348538.0691294181</v>
      </c>
    </row>
    <row r="115" spans="1:28" x14ac:dyDescent="0.2">
      <c r="A115" s="2">
        <v>44652</v>
      </c>
      <c r="B115">
        <v>140141152</v>
      </c>
      <c r="C115" s="3">
        <v>102.71271947925599</v>
      </c>
      <c r="D115" s="18">
        <v>25623.7</v>
      </c>
      <c r="E115" s="15">
        <v>-1.2E-2</v>
      </c>
      <c r="F115" s="15">
        <f t="shared" si="8"/>
        <v>4.4086418410043731</v>
      </c>
      <c r="G115">
        <f t="shared" si="9"/>
        <v>1364399.1972026709</v>
      </c>
      <c r="H115">
        <v>6.1349414552013863</v>
      </c>
      <c r="I115">
        <v>6.1331069120599642</v>
      </c>
      <c r="J115" s="6">
        <v>1.8345431414221736E-3</v>
      </c>
      <c r="K115" s="3">
        <v>2.766667</v>
      </c>
      <c r="L115" s="3">
        <f t="shared" si="12"/>
        <v>1.176172066354217</v>
      </c>
      <c r="M115" s="3">
        <f t="shared" si="13"/>
        <v>-6.6666000000000114E-2</v>
      </c>
      <c r="R115">
        <v>74124410</v>
      </c>
      <c r="S115" s="13">
        <v>15373090</v>
      </c>
      <c r="T115" s="6">
        <f>78.54363/100</f>
        <v>0.78543629999999998</v>
      </c>
      <c r="U115" s="6">
        <f t="shared" si="11"/>
        <v>0.20739578230706995</v>
      </c>
      <c r="V115" s="6">
        <f>97.2478991571518/100</f>
        <v>0.97247899157151807</v>
      </c>
      <c r="X115">
        <v>25623.7</v>
      </c>
      <c r="AA115" s="15">
        <v>-1.2E-2</v>
      </c>
      <c r="AB115">
        <v>1364399.1972026709</v>
      </c>
    </row>
    <row r="116" spans="1:28" x14ac:dyDescent="0.2">
      <c r="A116" s="2">
        <v>44743</v>
      </c>
      <c r="B116">
        <v>139379104</v>
      </c>
      <c r="C116" s="3">
        <v>102.562940787103</v>
      </c>
      <c r="D116" s="18">
        <v>25822.7</v>
      </c>
      <c r="E116" s="15">
        <v>-1.2E-2</v>
      </c>
      <c r="F116" s="15">
        <f t="shared" si="8"/>
        <v>4.4120016497737868</v>
      </c>
      <c r="G116">
        <f t="shared" si="9"/>
        <v>1358961.6574013694</v>
      </c>
      <c r="H116">
        <v>6.1332072034477854</v>
      </c>
      <c r="I116">
        <v>6.1337374194222569</v>
      </c>
      <c r="J116" s="6">
        <v>-5.3021597447155955E-4</v>
      </c>
      <c r="K116" s="3">
        <v>2.733333</v>
      </c>
      <c r="L116" s="3">
        <f t="shared" si="12"/>
        <v>-0.39852997659699813</v>
      </c>
      <c r="M116" s="3">
        <f t="shared" si="13"/>
        <v>-3.3333999999999975E-2</v>
      </c>
      <c r="R116">
        <v>73961410</v>
      </c>
      <c r="S116" s="13">
        <v>15460490</v>
      </c>
      <c r="T116" s="6">
        <f>78.60857/100</f>
        <v>0.7860857</v>
      </c>
      <c r="U116" s="6">
        <f t="shared" si="11"/>
        <v>0.20903454923317444</v>
      </c>
      <c r="V116" s="6">
        <f>97.0871748005666/100</f>
        <v>0.970871748005666</v>
      </c>
      <c r="X116">
        <v>25822.7</v>
      </c>
      <c r="AA116" s="15">
        <v>-1.2E-2</v>
      </c>
      <c r="AB116">
        <v>1358961.6574013694</v>
      </c>
    </row>
    <row r="117" spans="1:28" x14ac:dyDescent="0.2">
      <c r="A117" s="2">
        <v>44835</v>
      </c>
      <c r="B117">
        <v>141777856</v>
      </c>
      <c r="C117" s="3">
        <v>104.02704280702601</v>
      </c>
      <c r="D117" s="18">
        <v>25992.799999999999</v>
      </c>
      <c r="E117" s="15">
        <v>-0.05</v>
      </c>
      <c r="F117" s="15">
        <f t="shared" si="8"/>
        <v>4.4148530651512852</v>
      </c>
      <c r="G117">
        <f t="shared" si="9"/>
        <v>1362894.2261004492</v>
      </c>
      <c r="H117">
        <v>6.1344621516501991</v>
      </c>
      <c r="I117">
        <v>6.1344094023866713</v>
      </c>
      <c r="J117" s="6">
        <v>5.2749263527829271E-5</v>
      </c>
      <c r="K117" s="3">
        <v>2.7</v>
      </c>
      <c r="L117" s="3">
        <f t="shared" si="12"/>
        <v>0.28938040140144394</v>
      </c>
      <c r="M117" s="3">
        <f t="shared" si="13"/>
        <v>-3.3332999999999835E-2</v>
      </c>
      <c r="R117">
        <v>73924050</v>
      </c>
      <c r="S117" s="13">
        <v>15529070</v>
      </c>
      <c r="T117" s="6">
        <f>78.5491/100</f>
        <v>0.78549099999999994</v>
      </c>
      <c r="U117" s="6">
        <f t="shared" si="11"/>
        <v>0.2100679007711293</v>
      </c>
      <c r="V117" s="6">
        <f>97.4293372194143/100</f>
        <v>0.97429337219414291</v>
      </c>
      <c r="X117">
        <v>25992.799999999999</v>
      </c>
      <c r="AA117" s="15">
        <v>-0.05</v>
      </c>
      <c r="AB117">
        <v>1362894.2261004492</v>
      </c>
    </row>
    <row r="118" spans="1:28" x14ac:dyDescent="0.2">
      <c r="A118" s="2">
        <v>44927</v>
      </c>
      <c r="B118">
        <v>145677856</v>
      </c>
      <c r="C118" s="3">
        <v>105.63800968195601</v>
      </c>
      <c r="D118" s="18">
        <v>26791.3</v>
      </c>
      <c r="E118" s="15">
        <v>-0.02</v>
      </c>
      <c r="F118" s="15">
        <f t="shared" si="8"/>
        <v>4.4279937874838549</v>
      </c>
      <c r="G118">
        <f t="shared" si="9"/>
        <v>1379028.7836602735</v>
      </c>
      <c r="H118">
        <v>6.1395733310448604</v>
      </c>
      <c r="I118">
        <v>6.1351128905992001</v>
      </c>
      <c r="J118" s="6">
        <v>4.4604404456602964E-3</v>
      </c>
      <c r="K118" s="3">
        <v>2.733333</v>
      </c>
      <c r="L118" s="3">
        <f t="shared" si="12"/>
        <v>1.1838451767448572</v>
      </c>
      <c r="M118" s="3">
        <f t="shared" si="13"/>
        <v>3.3332999999999835E-2</v>
      </c>
      <c r="R118">
        <v>73845850</v>
      </c>
      <c r="S118" s="13">
        <v>15584650</v>
      </c>
      <c r="T118" s="6">
        <f>78.6413/100</f>
        <v>0.78641300000000003</v>
      </c>
      <c r="U118" s="6">
        <f t="shared" si="11"/>
        <v>0.2110430037706926</v>
      </c>
      <c r="V118" s="6">
        <f>98.5519012696032/100</f>
        <v>0.98551901269603204</v>
      </c>
      <c r="X118">
        <v>26791.3</v>
      </c>
      <c r="AA118" s="15">
        <v>-0.02</v>
      </c>
      <c r="AB118">
        <v>1379028.7836602735</v>
      </c>
    </row>
    <row r="119" spans="1:28" x14ac:dyDescent="0.2">
      <c r="A119" s="2">
        <v>45017</v>
      </c>
      <c r="B119">
        <v>148580896</v>
      </c>
      <c r="C119" s="3">
        <v>107.07125742895499</v>
      </c>
      <c r="D119" s="18">
        <v>26830.9</v>
      </c>
      <c r="E119" s="15">
        <v>-1.4999999999999999E-2</v>
      </c>
      <c r="F119" s="15">
        <f t="shared" si="8"/>
        <v>4.4286352406360896</v>
      </c>
      <c r="G119">
        <f t="shared" si="9"/>
        <v>1387682.3674979992</v>
      </c>
      <c r="H119">
        <v>6.1422900699882774</v>
      </c>
      <c r="I119">
        <v>6.1358379466741253</v>
      </c>
      <c r="J119" s="6">
        <v>6.452123314152125E-3</v>
      </c>
      <c r="K119" s="3">
        <v>2.7</v>
      </c>
      <c r="L119" s="3">
        <f t="shared" si="12"/>
        <v>0.62751292360678645</v>
      </c>
      <c r="M119" s="3">
        <f t="shared" si="13"/>
        <v>-3.3332999999999835E-2</v>
      </c>
      <c r="R119">
        <v>73975800</v>
      </c>
      <c r="S119" s="13">
        <v>15657910</v>
      </c>
      <c r="T119" s="6">
        <f>78.89516/100</f>
        <v>0.78895160000000009</v>
      </c>
      <c r="U119" s="6">
        <f t="shared" si="11"/>
        <v>0.21166259776845942</v>
      </c>
      <c r="V119" s="6">
        <f>99.1935625106927/100</f>
        <v>0.99193562510692701</v>
      </c>
      <c r="X119">
        <v>26830.9</v>
      </c>
      <c r="AA119" s="15">
        <v>-1.4999999999999999E-2</v>
      </c>
      <c r="AB119">
        <v>1387682.3674979992</v>
      </c>
    </row>
    <row r="120" spans="1:28" x14ac:dyDescent="0.2">
      <c r="A120" s="2">
        <v>45108</v>
      </c>
      <c r="B120">
        <v>148560800</v>
      </c>
      <c r="C120" s="3">
        <v>108.09780461983701</v>
      </c>
      <c r="D120" s="18">
        <v>26303.9</v>
      </c>
      <c r="E120" s="15">
        <v>-4.5999999999999999E-2</v>
      </c>
      <c r="F120" s="15">
        <f t="shared" si="8"/>
        <v>4.4200201447981122</v>
      </c>
      <c r="G120">
        <f t="shared" si="9"/>
        <v>1374318.38252835</v>
      </c>
      <c r="H120">
        <v>6.1380873555456139</v>
      </c>
      <c r="I120">
        <v>6.1365774210010064</v>
      </c>
      <c r="J120" s="6">
        <v>1.5099345446074608E-3</v>
      </c>
      <c r="K120" s="3">
        <v>2.733333</v>
      </c>
      <c r="L120" s="3">
        <f t="shared" si="12"/>
        <v>-0.96304350928264559</v>
      </c>
      <c r="M120" s="3">
        <f t="shared" si="13"/>
        <v>3.3332999999999835E-2</v>
      </c>
      <c r="R120">
        <v>73917840</v>
      </c>
      <c r="S120" s="13">
        <v>15746520</v>
      </c>
      <c r="T120" s="6">
        <f>79.01565/100</f>
        <v>0.79015649999999993</v>
      </c>
      <c r="U120" s="6">
        <f t="shared" si="11"/>
        <v>0.21302732872064442</v>
      </c>
      <c r="V120" s="6">
        <f>98.392953735977/100</f>
        <v>0.98392953735977007</v>
      </c>
      <c r="X120">
        <v>26303.9</v>
      </c>
      <c r="AA120" s="15">
        <v>-4.5999999999999999E-2</v>
      </c>
      <c r="AB120">
        <v>1374318.38252835</v>
      </c>
    </row>
    <row r="121" spans="1:28" x14ac:dyDescent="0.2">
      <c r="A121" s="2">
        <v>45200</v>
      </c>
      <c r="B121">
        <v>149037232</v>
      </c>
      <c r="C121" s="3">
        <v>108.421314138084</v>
      </c>
      <c r="D121" s="18">
        <v>25838.5</v>
      </c>
      <c r="E121" s="15">
        <v>-0.02</v>
      </c>
      <c r="F121" s="15">
        <f t="shared" si="8"/>
        <v>4.4122672979982962</v>
      </c>
      <c r="G121">
        <f t="shared" si="9"/>
        <v>1374611.9311022931</v>
      </c>
      <c r="H121">
        <v>6.1381801090982862</v>
      </c>
      <c r="I121">
        <v>6.1373281965464761</v>
      </c>
      <c r="J121" s="6">
        <v>8.5191255181005232E-4</v>
      </c>
      <c r="K121" s="3">
        <v>2.6666669999999999</v>
      </c>
      <c r="L121" s="3">
        <f t="shared" si="12"/>
        <v>2.1359575603074086E-2</v>
      </c>
      <c r="M121" s="3">
        <f t="shared" si="13"/>
        <v>-6.6666000000000114E-2</v>
      </c>
      <c r="R121">
        <v>73807160</v>
      </c>
      <c r="S121" s="13">
        <v>15810920</v>
      </c>
      <c r="T121" s="6">
        <f>79.2064/100</f>
        <v>0.79206399999999999</v>
      </c>
      <c r="U121" s="6">
        <f t="shared" si="11"/>
        <v>0.21421932506277169</v>
      </c>
      <c r="X121">
        <v>25838.5</v>
      </c>
      <c r="AA121" s="15">
        <v>-0.02</v>
      </c>
      <c r="AB121">
        <v>1374611.9311022931</v>
      </c>
    </row>
    <row r="122" spans="1:28" x14ac:dyDescent="0.2">
      <c r="A122" s="2">
        <v>45292</v>
      </c>
      <c r="B122">
        <v>148963200</v>
      </c>
      <c r="C122" s="3">
        <v>108.931616846674</v>
      </c>
      <c r="D122" s="18">
        <v>25311.5</v>
      </c>
      <c r="E122" s="15">
        <v>-1.4E-2</v>
      </c>
      <c r="F122" s="15">
        <f t="shared" si="8"/>
        <v>4.4033178829069595</v>
      </c>
      <c r="G122">
        <f t="shared" si="9"/>
        <v>1367492.7841167748</v>
      </c>
      <c r="H122">
        <v>6.1359250433590073</v>
      </c>
      <c r="I122">
        <v>6.1380880999862564</v>
      </c>
      <c r="J122" s="6">
        <v>-2.163056627249027E-3</v>
      </c>
      <c r="K122" s="3">
        <v>2.7</v>
      </c>
      <c r="L122" s="3">
        <f t="shared" si="12"/>
        <v>-0.51790231296839384</v>
      </c>
      <c r="M122" s="3">
        <f t="shared" si="13"/>
        <v>3.3333000000000279E-2</v>
      </c>
      <c r="R122">
        <v>73705590</v>
      </c>
      <c r="S122" s="13">
        <v>15824760</v>
      </c>
      <c r="T122" s="6">
        <f>79.14823/100</f>
        <v>0.79148229999999997</v>
      </c>
      <c r="U122" s="6">
        <f t="shared" si="11"/>
        <v>0.21470230412645772</v>
      </c>
      <c r="X122">
        <v>25311.5</v>
      </c>
      <c r="AA122" s="15">
        <v>-1.4E-2</v>
      </c>
      <c r="AB122">
        <v>1367492.7841167748</v>
      </c>
    </row>
    <row r="123" spans="1:28" x14ac:dyDescent="0.2">
      <c r="A123" s="2">
        <v>45383</v>
      </c>
      <c r="B123">
        <v>152180752</v>
      </c>
      <c r="C123" s="3">
        <v>110.398872828832</v>
      </c>
      <c r="D123" s="18">
        <v>26763.4</v>
      </c>
      <c r="E123" s="15">
        <v>7.6999999999999999E-2</v>
      </c>
      <c r="F123" s="15">
        <f t="shared" si="8"/>
        <v>4.4275412850091413</v>
      </c>
      <c r="G123">
        <f t="shared" si="9"/>
        <v>1378462.9145258463</v>
      </c>
      <c r="H123">
        <v>6.1393950865582703</v>
      </c>
      <c r="I123">
        <v>6.1388554904414132</v>
      </c>
      <c r="J123" s="6">
        <v>5.3959611685705511E-4</v>
      </c>
      <c r="K123" s="3">
        <v>2.733333</v>
      </c>
      <c r="L123" s="3">
        <f t="shared" si="12"/>
        <v>0.80220755359647133</v>
      </c>
      <c r="M123" s="3">
        <f t="shared" si="13"/>
        <v>3.3332999999999835E-2</v>
      </c>
      <c r="R123">
        <v>73603290</v>
      </c>
      <c r="S123" s="13">
        <v>15923240</v>
      </c>
      <c r="T123" s="6">
        <f>79.28541/100</f>
        <v>0.79285410000000001</v>
      </c>
      <c r="U123" s="6">
        <f t="shared" si="11"/>
        <v>0.21633869899022176</v>
      </c>
      <c r="X123">
        <v>26763.4</v>
      </c>
      <c r="AA123" s="15">
        <v>7.6999999999999999E-2</v>
      </c>
      <c r="AB123">
        <v>1378462.9145258463</v>
      </c>
    </row>
    <row r="124" spans="1:28" x14ac:dyDescent="0.2">
      <c r="A124" s="2">
        <v>45474</v>
      </c>
      <c r="B124">
        <v>153254400</v>
      </c>
      <c r="C124" s="3">
        <v>110.784398767669</v>
      </c>
      <c r="D124" s="18">
        <v>26461</v>
      </c>
      <c r="E124" s="15">
        <v>7.8E-2</v>
      </c>
      <c r="F124" s="15">
        <f t="shared" si="8"/>
        <v>4.4226062527870633</v>
      </c>
      <c r="G124">
        <f t="shared" si="9"/>
        <v>1383357.2389682482</v>
      </c>
      <c r="H124">
        <v>6.1409343470495079</v>
      </c>
      <c r="I124">
        <v>6.1396273751226218</v>
      </c>
      <c r="J124" s="6">
        <v>1.3069719268861135E-3</v>
      </c>
      <c r="K124" s="3">
        <v>2.6666669999999999</v>
      </c>
      <c r="L124" s="3">
        <f t="shared" si="12"/>
        <v>0.35505666426183896</v>
      </c>
      <c r="M124" s="3">
        <f t="shared" si="13"/>
        <v>-6.6666000000000114E-2</v>
      </c>
      <c r="R124">
        <v>73594130</v>
      </c>
      <c r="S124" s="13">
        <v>16035340</v>
      </c>
      <c r="T124" s="6">
        <f>79.53533/100</f>
        <v>0.79535330000000004</v>
      </c>
      <c r="U124" s="6">
        <f t="shared" si="11"/>
        <v>0.21788884521088842</v>
      </c>
      <c r="X124">
        <v>26461</v>
      </c>
      <c r="AA124" s="15">
        <v>7.8E-2</v>
      </c>
      <c r="AB124">
        <v>1383357.2389682482</v>
      </c>
    </row>
    <row r="125" spans="1:28" x14ac:dyDescent="0.2">
      <c r="A125" s="2">
        <v>45566</v>
      </c>
      <c r="B125">
        <v>154991376</v>
      </c>
      <c r="C125" s="3">
        <v>111.420355693403</v>
      </c>
      <c r="D125" s="18">
        <v>26373.1</v>
      </c>
      <c r="E125" s="15">
        <v>0.22700000000000001</v>
      </c>
      <c r="F125" s="15">
        <f t="shared" si="8"/>
        <v>4.4211611815099792</v>
      </c>
      <c r="G125">
        <f t="shared" si="9"/>
        <v>1391050.809660777</v>
      </c>
      <c r="H125">
        <v>6.1433429933653745</v>
      </c>
      <c r="I125">
        <v>6.1404010984881285</v>
      </c>
      <c r="J125" s="6">
        <v>2.941894877245943E-3</v>
      </c>
      <c r="K125" s="3">
        <v>2.6</v>
      </c>
      <c r="L125" s="3">
        <f t="shared" si="12"/>
        <v>0.55615212584327434</v>
      </c>
      <c r="M125" s="3">
        <f t="shared" si="13"/>
        <v>-6.666699999999981E-2</v>
      </c>
      <c r="R125">
        <v>73717000</v>
      </c>
      <c r="S125" s="13">
        <v>16106660</v>
      </c>
      <c r="T125" s="6">
        <f>79.77807/100</f>
        <v>0.79778070000000001</v>
      </c>
      <c r="U125" s="6">
        <f t="shared" si="11"/>
        <v>0.21849315625975013</v>
      </c>
      <c r="X125">
        <v>26373.1</v>
      </c>
      <c r="AA125" s="15">
        <v>0.22700000000000001</v>
      </c>
      <c r="AB125">
        <v>1391050.809660777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9112-96C0-4148-8AAE-8D98A71128BC}">
  <dimension ref="A1"/>
  <sheetViews>
    <sheetView workbookViewId="0">
      <selection activeCell="R27" sqref="R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7416-9401-4B4F-ADFD-6C455CECF3A2}">
  <dimension ref="A1"/>
  <sheetViews>
    <sheetView workbookViewId="0">
      <selection activeCell="P27" sqref="P2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3D410-181F-E441-B5B6-970E26CCC4C0}">
  <dimension ref="A1:I147"/>
  <sheetViews>
    <sheetView workbookViewId="0">
      <selection activeCell="S41" sqref="S41"/>
    </sheetView>
  </sheetViews>
  <sheetFormatPr baseColWidth="10" defaultRowHeight="16" x14ac:dyDescent="0.2"/>
  <sheetData>
    <row r="1" spans="1:9" x14ac:dyDescent="0.2">
      <c r="A1" t="s">
        <v>10</v>
      </c>
    </row>
    <row r="2" spans="1:9" ht="17" thickBot="1" x14ac:dyDescent="0.25"/>
    <row r="3" spans="1:9" x14ac:dyDescent="0.2">
      <c r="A3" s="10" t="s">
        <v>11</v>
      </c>
      <c r="B3" s="10"/>
    </row>
    <row r="4" spans="1:9" x14ac:dyDescent="0.2">
      <c r="A4" t="s">
        <v>12</v>
      </c>
      <c r="B4">
        <v>0.1898241391201691</v>
      </c>
    </row>
    <row r="5" spans="1:9" x14ac:dyDescent="0.2">
      <c r="A5" t="s">
        <v>13</v>
      </c>
      <c r="B5">
        <v>3.6033203792713311E-2</v>
      </c>
    </row>
    <row r="6" spans="1:9" x14ac:dyDescent="0.2">
      <c r="A6" t="s">
        <v>14</v>
      </c>
      <c r="B6">
        <v>2.8066536055463009E-2</v>
      </c>
    </row>
    <row r="7" spans="1:9" x14ac:dyDescent="0.2">
      <c r="A7" t="s">
        <v>15</v>
      </c>
      <c r="B7">
        <v>0.1458018782429405</v>
      </c>
    </row>
    <row r="8" spans="1:9" ht="17" thickBot="1" x14ac:dyDescent="0.25">
      <c r="A8" s="8" t="s">
        <v>16</v>
      </c>
      <c r="B8" s="8">
        <v>123</v>
      </c>
    </row>
    <row r="10" spans="1:9" ht="17" thickBot="1" x14ac:dyDescent="0.25">
      <c r="A10" t="s">
        <v>17</v>
      </c>
    </row>
    <row r="11" spans="1:9" x14ac:dyDescent="0.2">
      <c r="A11" s="9"/>
      <c r="B11" s="9" t="s">
        <v>22</v>
      </c>
      <c r="C11" s="9" t="s">
        <v>23</v>
      </c>
      <c r="D11" s="9" t="s">
        <v>24</v>
      </c>
      <c r="E11" s="9" t="s">
        <v>25</v>
      </c>
      <c r="F11" s="9" t="s">
        <v>26</v>
      </c>
    </row>
    <row r="12" spans="1:9" x14ac:dyDescent="0.2">
      <c r="A12" t="s">
        <v>18</v>
      </c>
      <c r="B12">
        <v>1</v>
      </c>
      <c r="C12">
        <v>9.6150691216388307E-2</v>
      </c>
      <c r="D12">
        <v>9.6150691216388307E-2</v>
      </c>
      <c r="E12">
        <v>4.5229956841591816</v>
      </c>
      <c r="F12">
        <v>3.5473130842348308E-2</v>
      </c>
    </row>
    <row r="13" spans="1:9" x14ac:dyDescent="0.2">
      <c r="A13" t="s">
        <v>19</v>
      </c>
      <c r="B13">
        <v>121</v>
      </c>
      <c r="C13">
        <v>2.5722407115994792</v>
      </c>
      <c r="D13">
        <v>2.1258187699169248E-2</v>
      </c>
    </row>
    <row r="14" spans="1:9" ht="17" thickBot="1" x14ac:dyDescent="0.25">
      <c r="A14" s="8" t="s">
        <v>20</v>
      </c>
      <c r="B14" s="8">
        <v>122</v>
      </c>
      <c r="C14" s="8">
        <v>2.6683914028158675</v>
      </c>
      <c r="D14" s="8"/>
      <c r="E14" s="8"/>
      <c r="F14" s="8"/>
    </row>
    <row r="15" spans="1:9" ht="17" thickBot="1" x14ac:dyDescent="0.25"/>
    <row r="16" spans="1:9" x14ac:dyDescent="0.2">
      <c r="A16" s="9"/>
      <c r="B16" s="9" t="s">
        <v>27</v>
      </c>
      <c r="C16" s="9" t="s">
        <v>15</v>
      </c>
      <c r="D16" s="9" t="s">
        <v>28</v>
      </c>
      <c r="E16" s="9" t="s">
        <v>29</v>
      </c>
      <c r="F16" s="9" t="s">
        <v>30</v>
      </c>
      <c r="G16" s="9" t="s">
        <v>31</v>
      </c>
      <c r="H16" s="9" t="s">
        <v>32</v>
      </c>
      <c r="I16" s="9" t="s">
        <v>33</v>
      </c>
    </row>
    <row r="17" spans="1:9" x14ac:dyDescent="0.2">
      <c r="A17" t="s">
        <v>21</v>
      </c>
      <c r="B17">
        <v>1.3350267987825189E-3</v>
      </c>
      <c r="C17">
        <v>1.3302232332244562E-2</v>
      </c>
      <c r="D17">
        <v>0.10036110973241828</v>
      </c>
      <c r="E17">
        <v>0.92022374348770763</v>
      </c>
      <c r="F17">
        <v>-2.5000250733022762E-2</v>
      </c>
      <c r="G17">
        <v>2.76703043305878E-2</v>
      </c>
      <c r="H17">
        <v>-2.5000250733022762E-2</v>
      </c>
      <c r="I17">
        <v>2.76703043305878E-2</v>
      </c>
    </row>
    <row r="18" spans="1:9" ht="17" thickBot="1" x14ac:dyDescent="0.25">
      <c r="A18" s="8" t="s">
        <v>9</v>
      </c>
      <c r="B18" s="8">
        <v>-2.2038523508196045E-2</v>
      </c>
      <c r="C18" s="8">
        <v>1.0362616081062846E-2</v>
      </c>
      <c r="D18" s="8">
        <v>-2.1267335715032738</v>
      </c>
      <c r="E18" s="8">
        <v>3.5473130842350611E-2</v>
      </c>
      <c r="F18" s="8">
        <v>-4.2554055310239834E-2</v>
      </c>
      <c r="G18" s="8">
        <v>-1.522991706152256E-3</v>
      </c>
      <c r="H18" s="8">
        <v>-4.2554055310239834E-2</v>
      </c>
      <c r="I18" s="8">
        <v>-1.522991706152256E-3</v>
      </c>
    </row>
    <row r="22" spans="1:9" x14ac:dyDescent="0.2">
      <c r="A22" t="s">
        <v>34</v>
      </c>
      <c r="F22" t="s">
        <v>38</v>
      </c>
    </row>
    <row r="23" spans="1:9" ht="17" thickBot="1" x14ac:dyDescent="0.25"/>
    <row r="24" spans="1:9" x14ac:dyDescent="0.2">
      <c r="A24" s="9" t="s">
        <v>35</v>
      </c>
      <c r="B24" s="9" t="s">
        <v>40</v>
      </c>
      <c r="C24" s="9" t="s">
        <v>36</v>
      </c>
      <c r="D24" s="9" t="s">
        <v>37</v>
      </c>
      <c r="F24" s="9" t="s">
        <v>39</v>
      </c>
      <c r="G24" s="9" t="s">
        <v>8</v>
      </c>
    </row>
    <row r="25" spans="1:9" x14ac:dyDescent="0.2">
      <c r="A25">
        <v>1</v>
      </c>
      <c r="B25">
        <v>1.3222668456733448E-2</v>
      </c>
      <c r="C25">
        <v>-4.6556668456733424E-2</v>
      </c>
      <c r="D25">
        <v>-0.32063136700492428</v>
      </c>
      <c r="F25">
        <v>0.4065040650406504</v>
      </c>
      <c r="G25">
        <v>-0.30000000000000027</v>
      </c>
    </row>
    <row r="26" spans="1:9" x14ac:dyDescent="0.2">
      <c r="A26">
        <v>2</v>
      </c>
      <c r="B26">
        <v>-2.387009047266566E-2</v>
      </c>
      <c r="C26">
        <v>0.15720409047266529</v>
      </c>
      <c r="D26">
        <v>1.0826496847354747</v>
      </c>
      <c r="F26">
        <v>1.2195121951219512</v>
      </c>
      <c r="G26">
        <v>-0.29999999999999893</v>
      </c>
    </row>
    <row r="27" spans="1:9" x14ac:dyDescent="0.2">
      <c r="A27">
        <v>3</v>
      </c>
      <c r="B27">
        <v>9.8228672690793013E-3</v>
      </c>
      <c r="C27">
        <v>-4.3156867269079274E-2</v>
      </c>
      <c r="D27">
        <v>-0.29721725816774314</v>
      </c>
      <c r="F27">
        <v>2.0325203252032518</v>
      </c>
      <c r="G27">
        <v>-0.29516899999999957</v>
      </c>
    </row>
    <row r="28" spans="1:9" x14ac:dyDescent="0.2">
      <c r="A28">
        <v>4</v>
      </c>
      <c r="B28">
        <v>-2.2601129643423007E-2</v>
      </c>
      <c r="C28">
        <v>0.1226011296434231</v>
      </c>
      <c r="D28">
        <v>0.84434237021170222</v>
      </c>
      <c r="F28">
        <v>2.845528455284553</v>
      </c>
      <c r="G28">
        <v>-0.26666699999999999</v>
      </c>
    </row>
    <row r="29" spans="1:9" x14ac:dyDescent="0.2">
      <c r="A29">
        <v>5</v>
      </c>
      <c r="B29">
        <v>-1.9765356748150761E-2</v>
      </c>
      <c r="C29">
        <v>5.3099356748150736E-2</v>
      </c>
      <c r="D29">
        <v>0.36569024171185888</v>
      </c>
      <c r="F29">
        <v>3.6585365853658534</v>
      </c>
      <c r="G29">
        <v>-0.26666699999999821</v>
      </c>
    </row>
    <row r="30" spans="1:9" x14ac:dyDescent="0.2">
      <c r="A30">
        <v>6</v>
      </c>
      <c r="B30">
        <v>-2.4393360701169944E-2</v>
      </c>
      <c r="C30">
        <v>0.19105936070117013</v>
      </c>
      <c r="D30">
        <v>1.3158077248940951</v>
      </c>
      <c r="F30">
        <v>4.4715447154471537</v>
      </c>
      <c r="G30">
        <v>-0.23333400000000015</v>
      </c>
    </row>
    <row r="31" spans="1:9" x14ac:dyDescent="0.2">
      <c r="A31">
        <v>7</v>
      </c>
      <c r="B31">
        <v>-4.2538222094633416E-3</v>
      </c>
      <c r="C31">
        <v>0.10425382220946343</v>
      </c>
      <c r="D31">
        <v>0.7179862013016115</v>
      </c>
      <c r="F31">
        <v>5.2845528455284549</v>
      </c>
      <c r="G31">
        <v>-0.21670600000000206</v>
      </c>
    </row>
    <row r="32" spans="1:9" x14ac:dyDescent="0.2">
      <c r="A32">
        <v>8</v>
      </c>
      <c r="B32">
        <v>-1.6642459001694952E-2</v>
      </c>
      <c r="C32">
        <v>8.3309459001694758E-2</v>
      </c>
      <c r="D32">
        <v>0.57374435520398193</v>
      </c>
      <c r="F32">
        <v>6.0975609756097562</v>
      </c>
      <c r="G32">
        <v>-0.20000000000000018</v>
      </c>
    </row>
    <row r="33" spans="1:7" x14ac:dyDescent="0.2">
      <c r="A33">
        <v>9</v>
      </c>
      <c r="B33">
        <v>-2.6697629241861923E-2</v>
      </c>
      <c r="C33">
        <v>6.0030629241861755E-2</v>
      </c>
      <c r="D33">
        <v>0.41342525902323551</v>
      </c>
      <c r="F33">
        <v>6.9105691056910565</v>
      </c>
      <c r="G33">
        <v>-0.1999999999999984</v>
      </c>
    </row>
    <row r="34" spans="1:7" x14ac:dyDescent="0.2">
      <c r="A34">
        <v>10</v>
      </c>
      <c r="B34">
        <v>-1.406689861558823E-3</v>
      </c>
      <c r="C34">
        <v>-9.8593310138440818E-2</v>
      </c>
      <c r="D34">
        <v>-0.67900279068737202</v>
      </c>
      <c r="F34">
        <v>7.7235772357723569</v>
      </c>
      <c r="G34">
        <v>-0.1666669999999999</v>
      </c>
    </row>
    <row r="35" spans="1:7" x14ac:dyDescent="0.2">
      <c r="A35">
        <v>11</v>
      </c>
      <c r="B35">
        <v>-2.3344491821065648E-2</v>
      </c>
      <c r="C35">
        <v>5.6678491821065623E-2</v>
      </c>
      <c r="D35">
        <v>0.39033940603491291</v>
      </c>
      <c r="F35">
        <v>8.5365853658536572</v>
      </c>
      <c r="G35">
        <v>-0.1666669999999999</v>
      </c>
    </row>
    <row r="36" spans="1:7" x14ac:dyDescent="0.2">
      <c r="A36">
        <v>12</v>
      </c>
      <c r="B36">
        <v>-3.8035414360965128E-3</v>
      </c>
      <c r="C36">
        <v>3.8035414360965128E-3</v>
      </c>
      <c r="D36">
        <v>2.6194629696256071E-2</v>
      </c>
      <c r="F36">
        <v>9.3495934959349594</v>
      </c>
      <c r="G36">
        <v>-0.16666699999999945</v>
      </c>
    </row>
    <row r="37" spans="1:7" x14ac:dyDescent="0.2">
      <c r="A37">
        <v>13</v>
      </c>
      <c r="B37">
        <v>1.7284854737107162E-2</v>
      </c>
      <c r="C37">
        <v>1.6048145262892673E-2</v>
      </c>
      <c r="D37">
        <v>0.1105220567557747</v>
      </c>
      <c r="F37">
        <v>10.16260162601626</v>
      </c>
      <c r="G37">
        <v>-0.16666699999999945</v>
      </c>
    </row>
    <row r="38" spans="1:7" x14ac:dyDescent="0.2">
      <c r="A38">
        <v>14</v>
      </c>
      <c r="B38">
        <v>-2.842142029024196E-3</v>
      </c>
      <c r="C38">
        <v>3.6175142029024034E-2</v>
      </c>
      <c r="D38">
        <v>0.24913477756988722</v>
      </c>
      <c r="F38">
        <v>10.97560975609756</v>
      </c>
      <c r="G38">
        <v>-0.1666660000000002</v>
      </c>
    </row>
    <row r="39" spans="1:7" x14ac:dyDescent="0.2">
      <c r="A39">
        <v>15</v>
      </c>
      <c r="B39">
        <v>4.4883591406069483E-4</v>
      </c>
      <c r="C39">
        <v>0.13288516408593937</v>
      </c>
      <c r="D39">
        <v>0.91516754157666103</v>
      </c>
      <c r="F39">
        <v>11.788617886178862</v>
      </c>
      <c r="G39">
        <v>-0.13333400000000006</v>
      </c>
    </row>
    <row r="40" spans="1:7" x14ac:dyDescent="0.2">
      <c r="A40">
        <v>16</v>
      </c>
      <c r="B40">
        <v>2.8572152567813272E-2</v>
      </c>
      <c r="C40">
        <v>0.13809384743218694</v>
      </c>
      <c r="D40">
        <v>0.95103925054903282</v>
      </c>
      <c r="F40">
        <v>12.601626016260163</v>
      </c>
      <c r="G40">
        <v>-0.13333400000000006</v>
      </c>
    </row>
    <row r="41" spans="1:7" x14ac:dyDescent="0.2">
      <c r="A41">
        <v>17</v>
      </c>
      <c r="B41">
        <v>1.0543341452240198E-2</v>
      </c>
      <c r="C41">
        <v>0.38945665854775974</v>
      </c>
      <c r="D41">
        <v>2.6821511280470105</v>
      </c>
      <c r="F41">
        <v>13.414634146341463</v>
      </c>
      <c r="G41">
        <v>-0.13333399999999962</v>
      </c>
    </row>
    <row r="42" spans="1:7" x14ac:dyDescent="0.2">
      <c r="A42">
        <v>18</v>
      </c>
      <c r="B42">
        <v>-2.4858882519224147E-3</v>
      </c>
      <c r="C42">
        <v>0.16915288825192276</v>
      </c>
      <c r="D42">
        <v>1.1649399235567759</v>
      </c>
      <c r="F42">
        <v>14.227642276422763</v>
      </c>
      <c r="G42">
        <v>-0.13333399999999873</v>
      </c>
    </row>
    <row r="43" spans="1:7" x14ac:dyDescent="0.2">
      <c r="A43">
        <v>19</v>
      </c>
      <c r="B43">
        <v>-1.6366346695032764E-2</v>
      </c>
      <c r="C43">
        <v>0.21636634669503205</v>
      </c>
      <c r="D43">
        <v>1.4900945410035253</v>
      </c>
      <c r="F43">
        <v>15.040650406504064</v>
      </c>
      <c r="G43">
        <v>-0.13333300000000037</v>
      </c>
    </row>
    <row r="44" spans="1:7" x14ac:dyDescent="0.2">
      <c r="A44">
        <v>20</v>
      </c>
      <c r="B44">
        <v>3.1858832197639478E-2</v>
      </c>
      <c r="C44">
        <v>0.16814116780236071</v>
      </c>
      <c r="D44">
        <v>1.1579723006249205</v>
      </c>
      <c r="F44">
        <v>15.853658536585366</v>
      </c>
      <c r="G44">
        <v>-0.13333300000000037</v>
      </c>
    </row>
    <row r="45" spans="1:7" x14ac:dyDescent="0.2">
      <c r="A45">
        <v>21</v>
      </c>
      <c r="B45">
        <v>-7.3514601389992034E-3</v>
      </c>
      <c r="C45">
        <v>0.14068446013899957</v>
      </c>
      <c r="D45">
        <v>0.96888055494429015</v>
      </c>
      <c r="F45">
        <v>16.666666666666664</v>
      </c>
      <c r="G45">
        <v>-0.13333300000000037</v>
      </c>
    </row>
    <row r="46" spans="1:7" x14ac:dyDescent="0.2">
      <c r="A46">
        <v>22</v>
      </c>
      <c r="B46">
        <v>-1.0315216395421819E-2</v>
      </c>
      <c r="C46">
        <v>-2.3017783604578016E-2</v>
      </c>
      <c r="D46">
        <v>-0.15852129602911894</v>
      </c>
      <c r="F46">
        <v>17.479674796747968</v>
      </c>
      <c r="G46">
        <v>-0.13333300000000037</v>
      </c>
    </row>
    <row r="47" spans="1:7" x14ac:dyDescent="0.2">
      <c r="A47">
        <v>23</v>
      </c>
      <c r="B47">
        <v>6.3932914430543393E-4</v>
      </c>
      <c r="C47">
        <v>-3.397232914430616E-2</v>
      </c>
      <c r="D47">
        <v>-0.23396421382691812</v>
      </c>
      <c r="F47">
        <v>18.292682926829269</v>
      </c>
      <c r="G47">
        <v>-0.13333300000000037</v>
      </c>
    </row>
    <row r="48" spans="1:7" x14ac:dyDescent="0.2">
      <c r="A48">
        <v>24</v>
      </c>
      <c r="B48">
        <v>-3.6716877961805963E-2</v>
      </c>
      <c r="C48">
        <v>0.17004987796180632</v>
      </c>
      <c r="D48">
        <v>1.1711174067488257</v>
      </c>
      <c r="F48">
        <v>19.105691056910569</v>
      </c>
      <c r="G48">
        <v>-0.13333299999999992</v>
      </c>
    </row>
    <row r="49" spans="1:7" x14ac:dyDescent="0.2">
      <c r="A49">
        <v>25</v>
      </c>
      <c r="B49">
        <v>-8.5502519308981433E-3</v>
      </c>
      <c r="C49">
        <v>-9.14497480691015E-2</v>
      </c>
      <c r="D49">
        <v>-0.6298057551712809</v>
      </c>
      <c r="F49">
        <v>19.918699186991869</v>
      </c>
      <c r="G49">
        <v>-0.13333299999999992</v>
      </c>
    </row>
    <row r="50" spans="1:7" x14ac:dyDescent="0.2">
      <c r="A50">
        <v>26</v>
      </c>
      <c r="B50">
        <v>7.118923030313808E-4</v>
      </c>
      <c r="C50">
        <v>-3.4044892303032107E-2</v>
      </c>
      <c r="D50">
        <v>-0.23446394942973767</v>
      </c>
      <c r="F50">
        <v>20.73170731707317</v>
      </c>
      <c r="G50">
        <v>-0.13333299999999992</v>
      </c>
    </row>
    <row r="51" spans="1:7" x14ac:dyDescent="0.2">
      <c r="A51">
        <v>27</v>
      </c>
      <c r="B51">
        <v>-1.9936076358412991E-2</v>
      </c>
      <c r="C51">
        <v>0.11993607635841352</v>
      </c>
      <c r="D51">
        <v>0.82598840060350964</v>
      </c>
      <c r="F51">
        <v>21.54471544715447</v>
      </c>
      <c r="G51">
        <v>-0.13333299999999992</v>
      </c>
    </row>
    <row r="52" spans="1:7" x14ac:dyDescent="0.2">
      <c r="A52">
        <v>28</v>
      </c>
      <c r="B52">
        <v>-1.5099417636799652E-2</v>
      </c>
      <c r="C52">
        <v>-1.8234582363200323E-2</v>
      </c>
      <c r="D52">
        <v>-0.12557984202220596</v>
      </c>
      <c r="F52">
        <v>22.35772357723577</v>
      </c>
      <c r="G52">
        <v>-0.10000000000000053</v>
      </c>
    </row>
    <row r="53" spans="1:7" x14ac:dyDescent="0.2">
      <c r="A53">
        <v>29</v>
      </c>
      <c r="B53">
        <v>1.7942541280185041E-2</v>
      </c>
      <c r="C53">
        <v>0.11539145871981457</v>
      </c>
      <c r="D53">
        <v>0.79469004927639852</v>
      </c>
      <c r="F53">
        <v>23.170731707317074</v>
      </c>
      <c r="G53">
        <v>-0.10000000000000009</v>
      </c>
    </row>
    <row r="54" spans="1:7" x14ac:dyDescent="0.2">
      <c r="A54">
        <v>30</v>
      </c>
      <c r="B54">
        <v>2.5091401267443674E-2</v>
      </c>
      <c r="C54">
        <v>0.27490859873255613</v>
      </c>
      <c r="D54">
        <v>1.8932694871614997</v>
      </c>
      <c r="F54">
        <v>23.983739837398375</v>
      </c>
      <c r="G54">
        <v>-9.9999999999999645E-2</v>
      </c>
    </row>
    <row r="55" spans="1:7" x14ac:dyDescent="0.2">
      <c r="A55">
        <v>31</v>
      </c>
      <c r="B55">
        <v>9.1817156419549666E-3</v>
      </c>
      <c r="C55">
        <v>0.22415128435804504</v>
      </c>
      <c r="D55">
        <v>1.5437086694985589</v>
      </c>
      <c r="F55">
        <v>24.796747967479675</v>
      </c>
      <c r="G55">
        <v>-9.9999999999999645E-2</v>
      </c>
    </row>
    <row r="56" spans="1:7" x14ac:dyDescent="0.2">
      <c r="A56">
        <v>32</v>
      </c>
      <c r="B56">
        <v>-2.5819827404329572E-3</v>
      </c>
      <c r="C56">
        <v>-3.0751017259566877E-2</v>
      </c>
      <c r="D56">
        <v>-0.21177934391697109</v>
      </c>
      <c r="F56">
        <v>25.609756097560975</v>
      </c>
      <c r="G56">
        <v>-9.9999999999999645E-2</v>
      </c>
    </row>
    <row r="57" spans="1:7" x14ac:dyDescent="0.2">
      <c r="A57">
        <v>33</v>
      </c>
      <c r="B57">
        <v>-1.625569562893146E-2</v>
      </c>
      <c r="C57">
        <v>8.2921695628932021E-2</v>
      </c>
      <c r="D57">
        <v>0.57107386557479167</v>
      </c>
      <c r="F57">
        <v>26.422764227642276</v>
      </c>
      <c r="G57">
        <v>-9.9999999999999645E-2</v>
      </c>
    </row>
    <row r="58" spans="1:7" x14ac:dyDescent="0.2">
      <c r="A58">
        <v>34</v>
      </c>
      <c r="B58">
        <v>-5.9776852582693859E-3</v>
      </c>
      <c r="C58">
        <v>7.2644685258269198E-2</v>
      </c>
      <c r="D58">
        <v>0.50029706832754717</v>
      </c>
      <c r="F58">
        <v>27.235772357723576</v>
      </c>
      <c r="G58">
        <v>-8.7521999999998989E-2</v>
      </c>
    </row>
    <row r="59" spans="1:7" x14ac:dyDescent="0.2">
      <c r="A59">
        <v>35</v>
      </c>
      <c r="B59">
        <v>-4.6089954367691697E-3</v>
      </c>
      <c r="C59">
        <v>-0.12872400456323119</v>
      </c>
      <c r="D59">
        <v>-0.88651002998234674</v>
      </c>
      <c r="F59">
        <v>28.048780487804876</v>
      </c>
      <c r="G59">
        <v>-6.666699999999981E-2</v>
      </c>
    </row>
    <row r="60" spans="1:7" x14ac:dyDescent="0.2">
      <c r="A60">
        <v>36</v>
      </c>
      <c r="B60">
        <v>-2.9297615690927889E-5</v>
      </c>
      <c r="C60">
        <v>6.6695297615691485E-2</v>
      </c>
      <c r="D60">
        <v>0.45932419900691157</v>
      </c>
      <c r="F60">
        <v>28.861788617886177</v>
      </c>
      <c r="G60">
        <v>-6.666699999999981E-2</v>
      </c>
    </row>
    <row r="61" spans="1:7" x14ac:dyDescent="0.2">
      <c r="A61">
        <v>37</v>
      </c>
      <c r="B61">
        <v>-1.3607740335809316E-2</v>
      </c>
      <c r="C61">
        <v>4.6941740335807516E-2</v>
      </c>
      <c r="D61">
        <v>0.32328332057195025</v>
      </c>
      <c r="F61">
        <v>29.674796747967477</v>
      </c>
      <c r="G61">
        <v>-6.666699999999981E-2</v>
      </c>
    </row>
    <row r="62" spans="1:7" x14ac:dyDescent="0.2">
      <c r="A62">
        <v>38</v>
      </c>
      <c r="B62">
        <v>-5.5263561939012228E-3</v>
      </c>
      <c r="C62">
        <v>-0.2944736438060977</v>
      </c>
      <c r="D62">
        <v>-2.0280120998824347</v>
      </c>
      <c r="F62">
        <v>30.487804878048781</v>
      </c>
      <c r="G62">
        <v>-6.666699999999981E-2</v>
      </c>
    </row>
    <row r="63" spans="1:7" x14ac:dyDescent="0.2">
      <c r="A63">
        <v>39</v>
      </c>
      <c r="B63">
        <v>-2.2596904350009484E-2</v>
      </c>
      <c r="C63">
        <v>-0.11073709564999014</v>
      </c>
      <c r="D63">
        <v>-0.76263589155671729</v>
      </c>
      <c r="F63">
        <v>31.300813008130081</v>
      </c>
      <c r="G63">
        <v>-6.666699999999981E-2</v>
      </c>
    </row>
    <row r="64" spans="1:7" x14ac:dyDescent="0.2">
      <c r="A64">
        <v>40</v>
      </c>
      <c r="B64">
        <v>-1.5312066211460161E-2</v>
      </c>
      <c r="C64">
        <v>-0.1180209337885402</v>
      </c>
      <c r="D64">
        <v>-0.81279899507810205</v>
      </c>
      <c r="F64">
        <v>32.113821138211385</v>
      </c>
      <c r="G64">
        <v>-6.666699999999981E-2</v>
      </c>
    </row>
    <row r="65" spans="1:7" x14ac:dyDescent="0.2">
      <c r="A65">
        <v>41</v>
      </c>
      <c r="B65">
        <v>1.7211325391208209E-3</v>
      </c>
      <c r="C65">
        <v>-0.16838813253912027</v>
      </c>
      <c r="D65">
        <v>-1.1596731233808018</v>
      </c>
      <c r="F65">
        <v>32.926829268292678</v>
      </c>
      <c r="G65">
        <v>-6.666699999999981E-2</v>
      </c>
    </row>
    <row r="66" spans="1:7" x14ac:dyDescent="0.2">
      <c r="A66">
        <v>42</v>
      </c>
      <c r="B66">
        <v>-1.2398378828244506E-2</v>
      </c>
      <c r="C66">
        <v>4.5732378828244477E-2</v>
      </c>
      <c r="D66">
        <v>0.3149545623891471</v>
      </c>
      <c r="F66">
        <v>33.739837398373986</v>
      </c>
      <c r="G66">
        <v>-6.6666999999998922E-2</v>
      </c>
    </row>
    <row r="67" spans="1:7" x14ac:dyDescent="0.2">
      <c r="A67">
        <v>43</v>
      </c>
      <c r="B67">
        <v>5.4578524881481114E-3</v>
      </c>
      <c r="C67">
        <v>-0.23879185248814827</v>
      </c>
      <c r="D67">
        <v>-1.6445368758305094</v>
      </c>
      <c r="F67">
        <v>34.552845528455286</v>
      </c>
      <c r="G67">
        <v>-6.6666000000000558E-2</v>
      </c>
    </row>
    <row r="68" spans="1:7" x14ac:dyDescent="0.2">
      <c r="A68">
        <v>44</v>
      </c>
      <c r="B68">
        <v>-9.7896116435725062E-3</v>
      </c>
      <c r="C68">
        <v>9.7896116435725062E-3</v>
      </c>
      <c r="D68">
        <v>6.7420128367712009E-2</v>
      </c>
      <c r="F68">
        <v>35.365853658536587</v>
      </c>
      <c r="G68">
        <v>-6.6666000000000114E-2</v>
      </c>
    </row>
    <row r="69" spans="1:7" x14ac:dyDescent="0.2">
      <c r="A69">
        <v>45</v>
      </c>
      <c r="B69">
        <v>-1.5744558078050051E-2</v>
      </c>
      <c r="C69">
        <v>-8.4255441921949586E-2</v>
      </c>
      <c r="D69">
        <v>-0.58025924999647538</v>
      </c>
      <c r="F69">
        <v>36.178861788617887</v>
      </c>
      <c r="G69">
        <v>-6.6666000000000114E-2</v>
      </c>
    </row>
    <row r="70" spans="1:7" x14ac:dyDescent="0.2">
      <c r="A70">
        <v>46</v>
      </c>
      <c r="B70">
        <v>-2.1069792747896093E-2</v>
      </c>
      <c r="C70">
        <v>-0.11226320725210427</v>
      </c>
      <c r="D70">
        <v>-0.77314607764622811</v>
      </c>
      <c r="F70">
        <v>36.991869918699187</v>
      </c>
      <c r="G70">
        <v>-6.6666000000000114E-2</v>
      </c>
    </row>
    <row r="71" spans="1:7" x14ac:dyDescent="0.2">
      <c r="A71">
        <v>47</v>
      </c>
      <c r="B71">
        <v>-2.7597278864049642E-3</v>
      </c>
      <c r="C71">
        <v>0.16942672788640353</v>
      </c>
      <c r="D71">
        <v>1.1668258311883601</v>
      </c>
      <c r="F71">
        <v>37.804878048780488</v>
      </c>
      <c r="G71">
        <v>-6.666599999999967E-2</v>
      </c>
    </row>
    <row r="72" spans="1:7" x14ac:dyDescent="0.2">
      <c r="A72">
        <v>48</v>
      </c>
      <c r="B72">
        <v>-1.946062987904677E-3</v>
      </c>
      <c r="C72">
        <v>-0.26472093701209354</v>
      </c>
      <c r="D72">
        <v>-1.823108025607366</v>
      </c>
      <c r="F72">
        <v>38.617886178861788</v>
      </c>
      <c r="G72">
        <v>-3.3333999999999975E-2</v>
      </c>
    </row>
    <row r="73" spans="1:7" x14ac:dyDescent="0.2">
      <c r="A73">
        <v>49</v>
      </c>
      <c r="B73">
        <v>-1.9381856767109865E-3</v>
      </c>
      <c r="C73">
        <v>-6.4728814323287934E-2</v>
      </c>
      <c r="D73">
        <v>-0.44578121478711819</v>
      </c>
      <c r="F73">
        <v>39.430894308943088</v>
      </c>
      <c r="G73">
        <v>-3.3333999999999975E-2</v>
      </c>
    </row>
    <row r="74" spans="1:7" x14ac:dyDescent="0.2">
      <c r="A74">
        <v>50</v>
      </c>
      <c r="B74">
        <v>5.6899786791084197E-3</v>
      </c>
      <c r="C74">
        <v>-3.9022978679110032E-2</v>
      </c>
      <c r="D74">
        <v>-0.26874755890479685</v>
      </c>
      <c r="F74">
        <v>40.243902439024389</v>
      </c>
      <c r="G74">
        <v>-3.3333999999999975E-2</v>
      </c>
    </row>
    <row r="75" spans="1:7" x14ac:dyDescent="0.2">
      <c r="A75">
        <v>51</v>
      </c>
      <c r="B75">
        <v>-2.8793513779557266E-2</v>
      </c>
      <c r="C75">
        <v>-3.7873486220442544E-2</v>
      </c>
      <c r="D75">
        <v>-0.2608311131924726</v>
      </c>
      <c r="F75">
        <v>41.056910569105689</v>
      </c>
      <c r="G75">
        <v>-3.3333999999999975E-2</v>
      </c>
    </row>
    <row r="76" spans="1:7" x14ac:dyDescent="0.2">
      <c r="A76">
        <v>52</v>
      </c>
      <c r="B76">
        <v>-1.2903659308261544E-2</v>
      </c>
      <c r="C76">
        <v>-2.0429340691738289E-2</v>
      </c>
      <c r="D76">
        <v>-0.1406949347994855</v>
      </c>
      <c r="F76">
        <v>41.869918699186989</v>
      </c>
      <c r="G76">
        <v>-3.3333000000001611E-2</v>
      </c>
    </row>
    <row r="77" spans="1:7" x14ac:dyDescent="0.2">
      <c r="A77">
        <v>53</v>
      </c>
      <c r="B77">
        <v>5.8917322984973681E-4</v>
      </c>
      <c r="C77">
        <v>-0.30058917322985002</v>
      </c>
      <c r="D77">
        <v>-2.0701291719173205</v>
      </c>
      <c r="F77">
        <v>42.68292682926829</v>
      </c>
      <c r="G77">
        <v>-3.3333000000000723E-2</v>
      </c>
    </row>
    <row r="78" spans="1:7" x14ac:dyDescent="0.2">
      <c r="A78">
        <v>54</v>
      </c>
      <c r="B78">
        <v>1.3247804346263764E-2</v>
      </c>
      <c r="C78">
        <v>-1.3247804346263764E-2</v>
      </c>
      <c r="D78">
        <v>-9.1236374039603232E-2</v>
      </c>
      <c r="F78">
        <v>43.49593495934959</v>
      </c>
      <c r="G78">
        <v>-3.3333000000000723E-2</v>
      </c>
    </row>
    <row r="79" spans="1:7" x14ac:dyDescent="0.2">
      <c r="A79">
        <v>55</v>
      </c>
      <c r="B79">
        <v>-8.6168980689625991E-3</v>
      </c>
      <c r="C79">
        <v>0.14194989806896252</v>
      </c>
      <c r="D79">
        <v>0.97759550613803736</v>
      </c>
      <c r="F79">
        <v>44.30894308943089</v>
      </c>
      <c r="G79">
        <v>-3.3333000000000279E-2</v>
      </c>
    </row>
    <row r="80" spans="1:7" x14ac:dyDescent="0.2">
      <c r="A80">
        <v>56</v>
      </c>
      <c r="B80">
        <v>-6.6878547360768471E-3</v>
      </c>
      <c r="C80">
        <v>7.3354854736076655E-2</v>
      </c>
      <c r="D80">
        <v>0.50518793827212216</v>
      </c>
      <c r="F80">
        <v>45.121951219512191</v>
      </c>
      <c r="G80">
        <v>-3.3333000000000279E-2</v>
      </c>
    </row>
    <row r="81" spans="1:7" x14ac:dyDescent="0.2">
      <c r="A81">
        <v>57</v>
      </c>
      <c r="B81">
        <v>1.4681812425683468E-2</v>
      </c>
      <c r="C81">
        <v>-1.4681812425683468E-2</v>
      </c>
      <c r="D81">
        <v>-0.101112251890007</v>
      </c>
      <c r="F81">
        <v>45.934959349593498</v>
      </c>
      <c r="G81">
        <v>-3.3332999999999835E-2</v>
      </c>
    </row>
    <row r="82" spans="1:7" x14ac:dyDescent="0.2">
      <c r="A82">
        <v>58</v>
      </c>
      <c r="B82">
        <v>2.8656361744525464E-2</v>
      </c>
      <c r="C82">
        <v>3.8010638255473461E-2</v>
      </c>
      <c r="D82">
        <v>0.26177566627019849</v>
      </c>
      <c r="F82">
        <v>46.747967479674799</v>
      </c>
      <c r="G82">
        <v>-3.3332999999999835E-2</v>
      </c>
    </row>
    <row r="83" spans="1:7" x14ac:dyDescent="0.2">
      <c r="A83">
        <v>59</v>
      </c>
      <c r="B83">
        <v>5.5508622158697951E-2</v>
      </c>
      <c r="C83">
        <v>4.449137784130347E-2</v>
      </c>
      <c r="D83">
        <v>0.30640790610794988</v>
      </c>
      <c r="F83">
        <v>47.560975609756099</v>
      </c>
      <c r="G83">
        <v>-3.3332999999999835E-2</v>
      </c>
    </row>
    <row r="84" spans="1:7" x14ac:dyDescent="0.2">
      <c r="A84">
        <v>60</v>
      </c>
      <c r="B84">
        <v>0.10787606128453914</v>
      </c>
      <c r="C84">
        <v>0.4254569387154607</v>
      </c>
      <c r="D84">
        <v>2.9300816485364081</v>
      </c>
      <c r="F84">
        <v>48.373983739837399</v>
      </c>
      <c r="G84">
        <v>-3.3332999999999835E-2</v>
      </c>
    </row>
    <row r="85" spans="1:7" x14ac:dyDescent="0.2">
      <c r="A85">
        <v>61</v>
      </c>
      <c r="B85">
        <v>-4.2235041361090894E-2</v>
      </c>
      <c r="C85">
        <v>0.57556804136109252</v>
      </c>
      <c r="D85">
        <v>3.9638825977734533</v>
      </c>
      <c r="F85">
        <v>49.1869918699187</v>
      </c>
      <c r="G85">
        <v>-3.3332999999999835E-2</v>
      </c>
    </row>
    <row r="86" spans="1:7" x14ac:dyDescent="0.2">
      <c r="A86">
        <v>62</v>
      </c>
      <c r="B86">
        <v>2.2890323355581961E-3</v>
      </c>
      <c r="C86">
        <v>0.33104496766443892</v>
      </c>
      <c r="D86">
        <v>2.2798753441946218</v>
      </c>
      <c r="F86">
        <v>50</v>
      </c>
      <c r="G86">
        <v>-3.3332999999999835E-2</v>
      </c>
    </row>
    <row r="87" spans="1:7" x14ac:dyDescent="0.2">
      <c r="A87">
        <v>63</v>
      </c>
      <c r="B87">
        <v>-2.60206220550308E-2</v>
      </c>
      <c r="C87">
        <v>-0.17397937794496759</v>
      </c>
      <c r="D87">
        <v>-1.1981795010311456</v>
      </c>
      <c r="F87">
        <v>50.8130081300813</v>
      </c>
      <c r="G87">
        <v>0</v>
      </c>
    </row>
    <row r="88" spans="1:7" x14ac:dyDescent="0.2">
      <c r="A88">
        <v>64</v>
      </c>
      <c r="B88">
        <v>-2.1368151936352369E-2</v>
      </c>
      <c r="C88">
        <v>-0.11196584806364636</v>
      </c>
      <c r="D88">
        <v>-0.77109819307357363</v>
      </c>
      <c r="F88">
        <v>51.626016260162601</v>
      </c>
      <c r="G88">
        <v>0</v>
      </c>
    </row>
    <row r="89" spans="1:7" x14ac:dyDescent="0.2">
      <c r="A89">
        <v>65</v>
      </c>
      <c r="B89">
        <v>-2.5641658893529071E-2</v>
      </c>
      <c r="C89">
        <v>5.8975658893527266E-2</v>
      </c>
      <c r="D89">
        <v>0.40615977813405851</v>
      </c>
      <c r="F89">
        <v>52.439024390243901</v>
      </c>
      <c r="G89">
        <v>0</v>
      </c>
    </row>
    <row r="90" spans="1:7" x14ac:dyDescent="0.2">
      <c r="A90">
        <v>66</v>
      </c>
      <c r="B90">
        <v>-3.832240059989056E-2</v>
      </c>
      <c r="C90">
        <v>-2.8344599400109249E-2</v>
      </c>
      <c r="D90">
        <v>-0.1952065719932238</v>
      </c>
      <c r="F90">
        <v>53.252032520325201</v>
      </c>
      <c r="G90">
        <v>0</v>
      </c>
    </row>
    <row r="91" spans="1:7" x14ac:dyDescent="0.2">
      <c r="A91">
        <v>67</v>
      </c>
      <c r="B91">
        <v>1.9014168301618999E-2</v>
      </c>
      <c r="C91">
        <v>-5.2347168301618834E-2</v>
      </c>
      <c r="D91">
        <v>-0.3605099911086404</v>
      </c>
      <c r="F91">
        <v>54.065040650406502</v>
      </c>
      <c r="G91">
        <v>0</v>
      </c>
    </row>
    <row r="92" spans="1:7" x14ac:dyDescent="0.2">
      <c r="A92">
        <v>68</v>
      </c>
      <c r="B92">
        <v>2.5079398991750587E-2</v>
      </c>
      <c r="C92">
        <v>-0.32024839899175017</v>
      </c>
      <c r="D92">
        <v>-2.2055203981205955</v>
      </c>
      <c r="F92">
        <v>54.878048780487802</v>
      </c>
      <c r="G92">
        <v>0</v>
      </c>
    </row>
    <row r="93" spans="1:7" x14ac:dyDescent="0.2">
      <c r="A93">
        <v>69</v>
      </c>
      <c r="B93">
        <v>1.9975965980932216E-2</v>
      </c>
      <c r="C93">
        <v>-0.1074979659809312</v>
      </c>
      <c r="D93">
        <v>-0.74032831225340545</v>
      </c>
      <c r="F93">
        <v>55.691056910569102</v>
      </c>
      <c r="G93">
        <v>0</v>
      </c>
    </row>
    <row r="94" spans="1:7" x14ac:dyDescent="0.2">
      <c r="A94">
        <v>70</v>
      </c>
      <c r="B94">
        <v>-5.1907442939153892E-2</v>
      </c>
      <c r="C94">
        <v>-0.16479855706084817</v>
      </c>
      <c r="D94">
        <v>-1.1349520569747007</v>
      </c>
      <c r="F94">
        <v>56.504065040650403</v>
      </c>
      <c r="G94">
        <v>0</v>
      </c>
    </row>
    <row r="95" spans="1:7" x14ac:dyDescent="0.2">
      <c r="A95">
        <v>71</v>
      </c>
      <c r="B95">
        <v>3.8468920091501544E-3</v>
      </c>
      <c r="C95">
        <v>2.888310799085066E-2</v>
      </c>
      <c r="D95">
        <v>0.1989152296639026</v>
      </c>
      <c r="F95">
        <v>57.317073170731703</v>
      </c>
      <c r="G95">
        <v>0</v>
      </c>
    </row>
    <row r="96" spans="1:7" x14ac:dyDescent="0.2">
      <c r="A96">
        <v>72</v>
      </c>
      <c r="B96">
        <v>-2.9166385969975634E-2</v>
      </c>
      <c r="C96">
        <v>6.2499385969975466E-2</v>
      </c>
      <c r="D96">
        <v>0.4304273528322744</v>
      </c>
      <c r="F96">
        <v>58.130081300813004</v>
      </c>
      <c r="G96">
        <v>0</v>
      </c>
    </row>
    <row r="97" spans="1:7" x14ac:dyDescent="0.2">
      <c r="A97">
        <v>73</v>
      </c>
      <c r="B97">
        <v>2.171003169188537E-2</v>
      </c>
      <c r="C97">
        <v>-0.12171003169188502</v>
      </c>
      <c r="D97">
        <v>-0.83820546300146093</v>
      </c>
      <c r="F97">
        <v>58.943089430894304</v>
      </c>
      <c r="G97">
        <v>3.2730000000000814E-2</v>
      </c>
    </row>
    <row r="98" spans="1:7" x14ac:dyDescent="0.2">
      <c r="A98">
        <v>74</v>
      </c>
      <c r="B98">
        <v>9.8860701122194007E-3</v>
      </c>
      <c r="C98">
        <v>-0.14321907011221977</v>
      </c>
      <c r="D98">
        <v>-0.98633617381644278</v>
      </c>
      <c r="F98">
        <v>59.756097560975611</v>
      </c>
      <c r="G98">
        <v>3.3332999999999835E-2</v>
      </c>
    </row>
    <row r="99" spans="1:7" x14ac:dyDescent="0.2">
      <c r="A99">
        <v>75</v>
      </c>
      <c r="B99">
        <v>2.1660483038393459E-3</v>
      </c>
      <c r="C99">
        <v>-0.13549904830383971</v>
      </c>
      <c r="D99">
        <v>-0.93316911466509733</v>
      </c>
      <c r="F99">
        <v>60.569105691056912</v>
      </c>
      <c r="G99">
        <v>3.3332999999999835E-2</v>
      </c>
    </row>
    <row r="100" spans="1:7" x14ac:dyDescent="0.2">
      <c r="A100">
        <v>76</v>
      </c>
      <c r="B100">
        <v>-2.8208960721153132E-2</v>
      </c>
      <c r="C100">
        <v>6.1541960721153852E-2</v>
      </c>
      <c r="D100">
        <v>0.42383365580646615</v>
      </c>
      <c r="F100">
        <v>61.382113821138212</v>
      </c>
      <c r="G100">
        <v>3.3332999999999835E-2</v>
      </c>
    </row>
    <row r="101" spans="1:7" x14ac:dyDescent="0.2">
      <c r="A101">
        <v>77</v>
      </c>
      <c r="B101">
        <v>-1.8842342048383726E-2</v>
      </c>
      <c r="C101">
        <v>-8.1157657951616807E-2</v>
      </c>
      <c r="D101">
        <v>-0.55892510513564209</v>
      </c>
      <c r="F101">
        <v>62.195121951219512</v>
      </c>
      <c r="G101">
        <v>3.3332999999999835E-2</v>
      </c>
    </row>
    <row r="102" spans="1:7" x14ac:dyDescent="0.2">
      <c r="A102">
        <v>78</v>
      </c>
      <c r="B102">
        <v>-1.9865119096541352E-2</v>
      </c>
      <c r="C102">
        <v>-0.14680188090345811</v>
      </c>
      <c r="D102">
        <v>-1.0110106524635205</v>
      </c>
      <c r="F102">
        <v>63.008130081300813</v>
      </c>
      <c r="G102">
        <v>3.3332999999999835E-2</v>
      </c>
    </row>
    <row r="103" spans="1:7" x14ac:dyDescent="0.2">
      <c r="A103">
        <v>79</v>
      </c>
      <c r="B103">
        <v>3.4268541199427871E-3</v>
      </c>
      <c r="C103">
        <v>-7.0092854119943343E-2</v>
      </c>
      <c r="D103">
        <v>-0.48272284892206013</v>
      </c>
      <c r="F103">
        <v>63.821138211382113</v>
      </c>
      <c r="G103">
        <v>3.3332999999999835E-2</v>
      </c>
    </row>
    <row r="104" spans="1:7" x14ac:dyDescent="0.2">
      <c r="A104">
        <v>80</v>
      </c>
      <c r="B104">
        <v>-1.5423313966251732E-2</v>
      </c>
      <c r="C104">
        <v>-0.25124368603374825</v>
      </c>
      <c r="D104">
        <v>-1.7302914743399325</v>
      </c>
      <c r="F104">
        <v>64.634146341463406</v>
      </c>
      <c r="G104">
        <v>3.3332999999999835E-2</v>
      </c>
    </row>
    <row r="105" spans="1:7" x14ac:dyDescent="0.2">
      <c r="A105">
        <v>81</v>
      </c>
      <c r="B105">
        <v>4.0536192239598701E-2</v>
      </c>
      <c r="C105">
        <v>-4.0536192239598701E-2</v>
      </c>
      <c r="D105">
        <v>-0.2791689174030057</v>
      </c>
      <c r="F105">
        <v>65.447154471544707</v>
      </c>
      <c r="G105">
        <v>3.3332999999999835E-2</v>
      </c>
    </row>
    <row r="106" spans="1:7" x14ac:dyDescent="0.2">
      <c r="A106">
        <v>82</v>
      </c>
      <c r="B106">
        <v>-7.6467526529245709E-4</v>
      </c>
      <c r="C106">
        <v>-6.5902324734707349E-2</v>
      </c>
      <c r="D106">
        <v>-0.45386306986567887</v>
      </c>
      <c r="F106">
        <v>66.260162601626021</v>
      </c>
      <c r="G106">
        <v>3.3333000000000279E-2</v>
      </c>
    </row>
    <row r="107" spans="1:7" x14ac:dyDescent="0.2">
      <c r="A107">
        <v>83</v>
      </c>
      <c r="B107">
        <v>-9.1738359345420097E-3</v>
      </c>
      <c r="C107">
        <v>-0.12415916406545792</v>
      </c>
      <c r="D107">
        <v>-0.85507240573909404</v>
      </c>
      <c r="F107">
        <v>67.073170731707322</v>
      </c>
      <c r="G107">
        <v>3.3333000000000279E-2</v>
      </c>
    </row>
    <row r="108" spans="1:7" x14ac:dyDescent="0.2">
      <c r="A108">
        <v>84</v>
      </c>
      <c r="B108">
        <v>-3.1756022959427407E-2</v>
      </c>
      <c r="C108">
        <v>9.8423022959427217E-2</v>
      </c>
      <c r="D108">
        <v>0.67783003901075056</v>
      </c>
      <c r="F108">
        <v>67.886178861788622</v>
      </c>
      <c r="G108">
        <v>3.3333000000000723E-2</v>
      </c>
    </row>
    <row r="109" spans="1:7" x14ac:dyDescent="0.2">
      <c r="A109">
        <v>85</v>
      </c>
      <c r="B109">
        <v>-2.3038590033819012E-3</v>
      </c>
      <c r="C109">
        <v>-0.164363140996618</v>
      </c>
      <c r="D109">
        <v>-1.131953387771818</v>
      </c>
      <c r="F109">
        <v>68.699186991869922</v>
      </c>
      <c r="G109">
        <v>3.3333999999998198E-2</v>
      </c>
    </row>
    <row r="110" spans="1:7" x14ac:dyDescent="0.2">
      <c r="A110">
        <v>86</v>
      </c>
      <c r="B110">
        <v>-1.1919827152898654E-3</v>
      </c>
      <c r="C110">
        <v>1.1919827152898654E-3</v>
      </c>
      <c r="D110">
        <v>8.2090720860924452E-3</v>
      </c>
      <c r="F110">
        <v>69.512195121951223</v>
      </c>
      <c r="G110">
        <v>3.3333999999998198E-2</v>
      </c>
    </row>
    <row r="111" spans="1:7" x14ac:dyDescent="0.2">
      <c r="A111">
        <v>87</v>
      </c>
      <c r="B111">
        <v>5.1239481600083361E-3</v>
      </c>
      <c r="C111">
        <v>-7.1790948160008139E-2</v>
      </c>
      <c r="D111">
        <v>-0.49441746177596047</v>
      </c>
      <c r="F111">
        <v>70.325203252032523</v>
      </c>
      <c r="G111">
        <v>3.3333999999999975E-2</v>
      </c>
    </row>
    <row r="112" spans="1:7" x14ac:dyDescent="0.2">
      <c r="A112">
        <v>88</v>
      </c>
      <c r="B112">
        <v>-1.4897685305933765E-2</v>
      </c>
      <c r="C112">
        <v>-1.8435314694066514E-2</v>
      </c>
      <c r="D112">
        <v>-0.12696226657665027</v>
      </c>
      <c r="F112">
        <v>71.138211382113823</v>
      </c>
      <c r="G112">
        <v>3.3333999999999975E-2</v>
      </c>
    </row>
    <row r="113" spans="1:7" x14ac:dyDescent="0.2">
      <c r="A113">
        <v>89</v>
      </c>
      <c r="B113">
        <v>4.8929284273655079E-3</v>
      </c>
      <c r="C113">
        <v>-7.1559928427365319E-2</v>
      </c>
      <c r="D113">
        <v>-0.49282645075352838</v>
      </c>
      <c r="F113">
        <v>71.951219512195124</v>
      </c>
      <c r="G113">
        <v>3.3333999999999975E-2</v>
      </c>
    </row>
    <row r="114" spans="1:7" x14ac:dyDescent="0.2">
      <c r="A114">
        <v>90</v>
      </c>
      <c r="B114">
        <v>-3.5619026069929182E-3</v>
      </c>
      <c r="C114">
        <v>-0.12977109739300702</v>
      </c>
      <c r="D114">
        <v>-0.89372125914716738</v>
      </c>
      <c r="F114">
        <v>72.764227642276424</v>
      </c>
      <c r="G114">
        <v>6.6666000000000558E-2</v>
      </c>
    </row>
    <row r="115" spans="1:7" x14ac:dyDescent="0.2">
      <c r="A115">
        <v>91</v>
      </c>
      <c r="B115">
        <v>-1.6281448572590626E-3</v>
      </c>
      <c r="C115">
        <v>-3.1704855142741219E-2</v>
      </c>
      <c r="D115">
        <v>-0.21834833509527007</v>
      </c>
      <c r="F115">
        <v>73.577235772357724</v>
      </c>
      <c r="G115">
        <v>6.6666000000000558E-2</v>
      </c>
    </row>
    <row r="116" spans="1:7" x14ac:dyDescent="0.2">
      <c r="A116">
        <v>92</v>
      </c>
      <c r="B116">
        <v>-1.5605969358369141E-2</v>
      </c>
      <c r="C116">
        <v>-0.11772803064163093</v>
      </c>
      <c r="D116">
        <v>-0.81078179884163082</v>
      </c>
      <c r="F116">
        <v>74.390243902439025</v>
      </c>
      <c r="G116">
        <v>6.6666999999998922E-2</v>
      </c>
    </row>
    <row r="117" spans="1:7" x14ac:dyDescent="0.2">
      <c r="A117">
        <v>93</v>
      </c>
      <c r="B117">
        <v>-7.3570152116943874E-3</v>
      </c>
      <c r="C117">
        <v>7.3570152116943874E-3</v>
      </c>
      <c r="D117">
        <v>5.0667067094669463E-2</v>
      </c>
      <c r="F117">
        <v>75.203252032520325</v>
      </c>
      <c r="G117">
        <v>6.666699999999981E-2</v>
      </c>
    </row>
    <row r="118" spans="1:7" x14ac:dyDescent="0.2">
      <c r="A118">
        <v>94</v>
      </c>
      <c r="B118">
        <v>-1.7927223347135406E-2</v>
      </c>
      <c r="C118">
        <v>-4.873877665286426E-2</v>
      </c>
      <c r="D118">
        <v>-0.33565933951821286</v>
      </c>
      <c r="F118">
        <v>76.016260162601625</v>
      </c>
      <c r="G118">
        <v>6.666699999999981E-2</v>
      </c>
    </row>
    <row r="119" spans="1:7" x14ac:dyDescent="0.2">
      <c r="A119">
        <v>95</v>
      </c>
      <c r="B119">
        <v>-2.5108437602169593E-5</v>
      </c>
      <c r="C119">
        <v>-0.13330889156239789</v>
      </c>
      <c r="D119">
        <v>-0.91808571258240423</v>
      </c>
      <c r="F119">
        <v>76.829268292682926</v>
      </c>
      <c r="G119">
        <v>6.666699999999981E-2</v>
      </c>
    </row>
    <row r="120" spans="1:7" x14ac:dyDescent="0.2">
      <c r="A120">
        <v>96</v>
      </c>
      <c r="B120">
        <v>-2.3593611250563497E-4</v>
      </c>
      <c r="C120">
        <v>-0.16643006388749457</v>
      </c>
      <c r="D120">
        <v>-1.1461880899952259</v>
      </c>
      <c r="F120">
        <v>77.642276422764226</v>
      </c>
      <c r="G120">
        <v>6.666699999999981E-2</v>
      </c>
    </row>
    <row r="121" spans="1:7" x14ac:dyDescent="0.2">
      <c r="A121">
        <v>97</v>
      </c>
      <c r="B121">
        <v>-7.1441639913528317E-3</v>
      </c>
      <c r="C121">
        <v>-0.15952283600864706</v>
      </c>
      <c r="D121">
        <v>-1.0986186656695234</v>
      </c>
      <c r="F121">
        <v>78.455284552845526</v>
      </c>
      <c r="G121">
        <v>6.666699999999981E-2</v>
      </c>
    </row>
    <row r="122" spans="1:7" x14ac:dyDescent="0.2">
      <c r="A122">
        <v>98</v>
      </c>
      <c r="B122">
        <v>1.2339304936095054E-2</v>
      </c>
      <c r="C122">
        <v>5.4327695063904752E-2</v>
      </c>
      <c r="D122">
        <v>0.3741496913756755</v>
      </c>
      <c r="F122">
        <v>79.268292682926827</v>
      </c>
      <c r="G122">
        <v>0.10000000000000009</v>
      </c>
    </row>
    <row r="123" spans="1:7" x14ac:dyDescent="0.2">
      <c r="A123">
        <v>99</v>
      </c>
      <c r="B123">
        <v>6.5145544181189228E-3</v>
      </c>
      <c r="C123">
        <v>2.6818445581881355E-2</v>
      </c>
      <c r="D123">
        <v>0.18469609516533508</v>
      </c>
      <c r="F123">
        <v>80.081300813008127</v>
      </c>
      <c r="G123">
        <v>0.10000000000000009</v>
      </c>
    </row>
    <row r="124" spans="1:7" x14ac:dyDescent="0.2">
      <c r="A124">
        <v>100</v>
      </c>
      <c r="B124">
        <v>-3.8783878582310926E-3</v>
      </c>
      <c r="C124">
        <v>3.8783878582310926E-3</v>
      </c>
      <c r="D124">
        <v>2.671008991795858E-2</v>
      </c>
      <c r="F124">
        <v>80.894308943089428</v>
      </c>
      <c r="G124">
        <v>0.10000000000000053</v>
      </c>
    </row>
    <row r="125" spans="1:7" x14ac:dyDescent="0.2">
      <c r="A125">
        <v>101</v>
      </c>
      <c r="B125">
        <v>-8.4321683469524983E-3</v>
      </c>
      <c r="C125">
        <v>-9.1567831653047591E-2</v>
      </c>
      <c r="D125">
        <v>-0.63061898563206142</v>
      </c>
      <c r="F125">
        <v>81.707317073170728</v>
      </c>
      <c r="G125">
        <v>0.10000000000000142</v>
      </c>
    </row>
    <row r="126" spans="1:7" x14ac:dyDescent="0.2">
      <c r="A126">
        <v>102</v>
      </c>
      <c r="B126">
        <v>-2.7710136676857523E-3</v>
      </c>
      <c r="C126">
        <v>-0.13056198633231417</v>
      </c>
      <c r="D126">
        <v>-0.89916803637940834</v>
      </c>
      <c r="F126">
        <v>82.520325203252028</v>
      </c>
      <c r="G126">
        <v>0.13333299999999992</v>
      </c>
    </row>
    <row r="127" spans="1:7" x14ac:dyDescent="0.2">
      <c r="A127">
        <v>103</v>
      </c>
      <c r="B127">
        <v>6.5189101988625431E-2</v>
      </c>
      <c r="C127">
        <v>-3.1856101988625596E-2</v>
      </c>
      <c r="D127">
        <v>-0.21938995780064383</v>
      </c>
      <c r="F127">
        <v>83.333333333333329</v>
      </c>
      <c r="G127">
        <v>0.13333299999999992</v>
      </c>
    </row>
    <row r="128" spans="1:7" x14ac:dyDescent="0.2">
      <c r="A128">
        <v>104</v>
      </c>
      <c r="B128">
        <v>-1.0612059701103493E-2</v>
      </c>
      <c r="C128">
        <v>0.17727905970110339</v>
      </c>
      <c r="D128">
        <v>1.2209040968242111</v>
      </c>
      <c r="F128">
        <v>84.146341463414629</v>
      </c>
      <c r="G128">
        <v>0.13333300000000037</v>
      </c>
    </row>
    <row r="129" spans="1:7" x14ac:dyDescent="0.2">
      <c r="A129">
        <v>105</v>
      </c>
      <c r="B129">
        <v>0.1689900856367689</v>
      </c>
      <c r="C129">
        <v>0.13100991436323137</v>
      </c>
      <c r="D129">
        <v>0.90225287431205103</v>
      </c>
      <c r="F129">
        <v>84.959349593495929</v>
      </c>
      <c r="G129">
        <v>0.13333300000000037</v>
      </c>
    </row>
    <row r="130" spans="1:7" x14ac:dyDescent="0.2">
      <c r="A130">
        <v>106</v>
      </c>
      <c r="B130">
        <v>-0.11770315368614094</v>
      </c>
      <c r="C130">
        <v>0.35103615368614094</v>
      </c>
      <c r="D130">
        <v>2.4175527492723687</v>
      </c>
      <c r="F130">
        <v>85.77235772357723</v>
      </c>
      <c r="G130">
        <v>0.13333399999999962</v>
      </c>
    </row>
    <row r="131" spans="1:7" x14ac:dyDescent="0.2">
      <c r="A131">
        <v>107</v>
      </c>
      <c r="B131">
        <v>-3.6582850247462648E-2</v>
      </c>
      <c r="C131">
        <v>0.16991585024746259</v>
      </c>
      <c r="D131">
        <v>1.1701943705718167</v>
      </c>
      <c r="F131">
        <v>86.58536585365853</v>
      </c>
      <c r="G131">
        <v>0.13333399999999962</v>
      </c>
    </row>
    <row r="132" spans="1:7" x14ac:dyDescent="0.2">
      <c r="A132">
        <v>108</v>
      </c>
      <c r="B132">
        <v>-5.1796854341332205E-3</v>
      </c>
      <c r="C132">
        <v>-0.19482031456586696</v>
      </c>
      <c r="D132">
        <v>-1.3417090580189268</v>
      </c>
      <c r="F132">
        <v>87.39837398373983</v>
      </c>
      <c r="G132">
        <v>0.13333400000000006</v>
      </c>
    </row>
    <row r="133" spans="1:7" x14ac:dyDescent="0.2">
      <c r="A133">
        <v>109</v>
      </c>
      <c r="B133">
        <v>-1.2983520447637491E-2</v>
      </c>
      <c r="C133">
        <v>1.2983520447637491E-2</v>
      </c>
      <c r="D133">
        <v>8.9416275855973906E-2</v>
      </c>
      <c r="F133">
        <v>88.211382113821131</v>
      </c>
      <c r="G133">
        <v>0.1666660000000002</v>
      </c>
    </row>
    <row r="134" spans="1:7" x14ac:dyDescent="0.2">
      <c r="A134">
        <v>110</v>
      </c>
      <c r="B134">
        <v>1.0924982092028572E-2</v>
      </c>
      <c r="C134">
        <v>-0.1442579820920285</v>
      </c>
      <c r="D134">
        <v>-0.99349106224222083</v>
      </c>
      <c r="F134">
        <v>89.024390243902431</v>
      </c>
      <c r="G134">
        <v>0.1666660000000002</v>
      </c>
    </row>
    <row r="135" spans="1:7" x14ac:dyDescent="0.2">
      <c r="A135">
        <v>111</v>
      </c>
      <c r="B135">
        <v>-2.42197633986194E-2</v>
      </c>
      <c r="C135">
        <v>2.42197633986194E-2</v>
      </c>
      <c r="D135">
        <v>0.16679921704990552</v>
      </c>
      <c r="F135">
        <v>89.837398373983731</v>
      </c>
      <c r="G135">
        <v>0.16666699999999857</v>
      </c>
    </row>
    <row r="136" spans="1:7" x14ac:dyDescent="0.2">
      <c r="A136">
        <v>112</v>
      </c>
      <c r="B136">
        <v>1.5546996763376257E-2</v>
      </c>
      <c r="C136">
        <v>-8.2213996763376068E-2</v>
      </c>
      <c r="D136">
        <v>-0.56620001050283963</v>
      </c>
      <c r="F136">
        <v>90.650406504065032</v>
      </c>
      <c r="G136">
        <v>0.1666669999999999</v>
      </c>
    </row>
    <row r="137" spans="1:7" x14ac:dyDescent="0.2">
      <c r="A137">
        <v>113</v>
      </c>
      <c r="B137">
        <v>-2.4586068935248413E-2</v>
      </c>
      <c r="C137">
        <v>-4.2079931064751705E-2</v>
      </c>
      <c r="D137">
        <v>-0.28980050050838568</v>
      </c>
      <c r="F137">
        <v>91.463414634146346</v>
      </c>
      <c r="G137">
        <v>0.16666700000000034</v>
      </c>
    </row>
    <row r="138" spans="1:7" x14ac:dyDescent="0.2">
      <c r="A138">
        <v>114</v>
      </c>
      <c r="B138">
        <v>1.0118039056736281E-2</v>
      </c>
      <c r="C138">
        <v>-4.3452039056736252E-2</v>
      </c>
      <c r="D138">
        <v>-0.29925007831821626</v>
      </c>
      <c r="F138">
        <v>92.276422764227647</v>
      </c>
      <c r="G138">
        <v>0.19999999999999929</v>
      </c>
    </row>
    <row r="139" spans="1:7" x14ac:dyDescent="0.2">
      <c r="A139">
        <v>115</v>
      </c>
      <c r="B139">
        <v>-5.0424899803144111E-3</v>
      </c>
      <c r="C139">
        <v>-2.8290510019685425E-2</v>
      </c>
      <c r="D139">
        <v>-0.19483406355220728</v>
      </c>
      <c r="F139">
        <v>93.089430894308947</v>
      </c>
      <c r="G139">
        <v>0.20000000000000018</v>
      </c>
    </row>
    <row r="140" spans="1:7" x14ac:dyDescent="0.2">
      <c r="A140">
        <v>116</v>
      </c>
      <c r="B140">
        <v>-2.4755172958973518E-2</v>
      </c>
      <c r="C140">
        <v>5.8088172958973353E-2</v>
      </c>
      <c r="D140">
        <v>0.40004774654274927</v>
      </c>
      <c r="F140">
        <v>93.902439024390247</v>
      </c>
      <c r="G140">
        <v>0.23333300000000001</v>
      </c>
    </row>
    <row r="141" spans="1:7" x14ac:dyDescent="0.2">
      <c r="A141">
        <v>117</v>
      </c>
      <c r="B141">
        <v>-1.2494431519822474E-2</v>
      </c>
      <c r="C141">
        <v>-2.0838568480177361E-2</v>
      </c>
      <c r="D141">
        <v>-0.14351324782687835</v>
      </c>
      <c r="F141">
        <v>94.715447154471548</v>
      </c>
      <c r="G141">
        <v>0.23333300000000001</v>
      </c>
    </row>
    <row r="142" spans="1:7" x14ac:dyDescent="0.2">
      <c r="A142">
        <v>118</v>
      </c>
      <c r="B142">
        <v>2.2559083817523719E-2</v>
      </c>
      <c r="C142">
        <v>1.0773916182476116E-2</v>
      </c>
      <c r="D142">
        <v>7.419894051899624E-2</v>
      </c>
      <c r="F142">
        <v>95.528455284552848</v>
      </c>
      <c r="G142">
        <v>0.29999999999999982</v>
      </c>
    </row>
    <row r="143" spans="1:7" x14ac:dyDescent="0.2">
      <c r="A143">
        <v>119</v>
      </c>
      <c r="B143">
        <v>8.6429328972907984E-4</v>
      </c>
      <c r="C143">
        <v>-6.753029328972919E-2</v>
      </c>
      <c r="D143">
        <v>-0.46507473514458031</v>
      </c>
      <c r="F143">
        <v>96.341463414634148</v>
      </c>
      <c r="G143">
        <v>0.30000000000000027</v>
      </c>
    </row>
    <row r="144" spans="1:7" x14ac:dyDescent="0.2">
      <c r="A144">
        <v>120</v>
      </c>
      <c r="B144">
        <v>1.2748829098085572E-2</v>
      </c>
      <c r="C144">
        <v>2.0584170901914708E-2</v>
      </c>
      <c r="D144">
        <v>0.14176123579541394</v>
      </c>
      <c r="F144">
        <v>97.154471544715449</v>
      </c>
      <c r="G144">
        <v>0.33333399999999713</v>
      </c>
    </row>
    <row r="145" spans="1:7" x14ac:dyDescent="0.2">
      <c r="A145">
        <v>121</v>
      </c>
      <c r="B145">
        <v>-1.6344443229605755E-2</v>
      </c>
      <c r="C145">
        <v>4.9677443229605586E-2</v>
      </c>
      <c r="D145">
        <v>0.34212384734574569</v>
      </c>
      <c r="F145">
        <v>97.967479674796749</v>
      </c>
      <c r="G145">
        <v>0.39999999999999991</v>
      </c>
    </row>
    <row r="146" spans="1:7" x14ac:dyDescent="0.2">
      <c r="A146">
        <v>122</v>
      </c>
      <c r="B146">
        <v>-6.4898978432936898E-3</v>
      </c>
      <c r="C146">
        <v>-6.0176102156706421E-2</v>
      </c>
      <c r="D146">
        <v>-0.4144271172122978</v>
      </c>
      <c r="F146">
        <v>98.780487804878049</v>
      </c>
      <c r="G146">
        <v>0.53333299999999983</v>
      </c>
    </row>
    <row r="147" spans="1:7" ht="17" thickBot="1" x14ac:dyDescent="0.25">
      <c r="A147" s="8">
        <v>123</v>
      </c>
      <c r="B147" s="8">
        <v>-1.0921744900747687E-2</v>
      </c>
      <c r="C147" s="8">
        <v>-5.5745255099252121E-2</v>
      </c>
      <c r="D147" s="8">
        <v>-0.38391229310409103</v>
      </c>
      <c r="F147" s="8">
        <v>99.59349593495935</v>
      </c>
      <c r="G147" s="8">
        <v>0.53333300000000161</v>
      </c>
    </row>
  </sheetData>
  <sortState xmlns:xlrd2="http://schemas.microsoft.com/office/spreadsheetml/2017/richdata2" ref="G25:G147">
    <sortCondition ref="G25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C04C0-BA4A-944A-A017-6B3A384C1F62}">
  <dimension ref="A1:I133"/>
  <sheetViews>
    <sheetView workbookViewId="0">
      <selection activeCell="H8" sqref="H8"/>
    </sheetView>
  </sheetViews>
  <sheetFormatPr baseColWidth="10" defaultRowHeight="16" x14ac:dyDescent="0.2"/>
  <sheetData>
    <row r="1" spans="1:9" x14ac:dyDescent="0.2">
      <c r="A1" t="s">
        <v>10</v>
      </c>
    </row>
    <row r="2" spans="1:9" ht="17" thickBot="1" x14ac:dyDescent="0.25"/>
    <row r="3" spans="1:9" x14ac:dyDescent="0.2">
      <c r="A3" s="10" t="s">
        <v>11</v>
      </c>
      <c r="B3" s="10"/>
    </row>
    <row r="4" spans="1:9" x14ac:dyDescent="0.2">
      <c r="A4" t="s">
        <v>12</v>
      </c>
      <c r="B4">
        <v>0.19111119259949194</v>
      </c>
    </row>
    <row r="5" spans="1:9" x14ac:dyDescent="0.2">
      <c r="A5" t="s">
        <v>13</v>
      </c>
      <c r="B5">
        <v>3.6523487936800103E-2</v>
      </c>
    </row>
    <row r="6" spans="1:9" x14ac:dyDescent="0.2">
      <c r="A6" t="s">
        <v>14</v>
      </c>
      <c r="B6">
        <v>2.7519034553031878E-2</v>
      </c>
    </row>
    <row r="7" spans="1:9" x14ac:dyDescent="0.2">
      <c r="A7" t="s">
        <v>15</v>
      </c>
      <c r="B7">
        <v>0.39383622107190863</v>
      </c>
    </row>
    <row r="8" spans="1:9" ht="17" thickBot="1" x14ac:dyDescent="0.25">
      <c r="A8" s="8" t="s">
        <v>16</v>
      </c>
      <c r="B8" s="8">
        <v>109</v>
      </c>
    </row>
    <row r="10" spans="1:9" ht="17" thickBot="1" x14ac:dyDescent="0.25">
      <c r="A10" t="s">
        <v>17</v>
      </c>
    </row>
    <row r="11" spans="1:9" x14ac:dyDescent="0.2">
      <c r="A11" s="9"/>
      <c r="B11" s="9" t="s">
        <v>22</v>
      </c>
      <c r="C11" s="9" t="s">
        <v>23</v>
      </c>
      <c r="D11" s="9" t="s">
        <v>24</v>
      </c>
      <c r="E11" s="9" t="s">
        <v>25</v>
      </c>
      <c r="F11" s="9" t="s">
        <v>26</v>
      </c>
    </row>
    <row r="12" spans="1:9" x14ac:dyDescent="0.2">
      <c r="A12" t="s">
        <v>18</v>
      </c>
      <c r="B12">
        <v>1</v>
      </c>
      <c r="C12">
        <v>0.6291384130465012</v>
      </c>
      <c r="D12">
        <v>0.6291384130465012</v>
      </c>
      <c r="E12">
        <v>4.0561582563844203</v>
      </c>
      <c r="F12">
        <v>4.6520002676539801E-2</v>
      </c>
    </row>
    <row r="13" spans="1:9" x14ac:dyDescent="0.2">
      <c r="A13" t="s">
        <v>19</v>
      </c>
      <c r="B13">
        <v>107</v>
      </c>
      <c r="C13">
        <v>16.596445686017539</v>
      </c>
      <c r="D13">
        <v>0.15510696902820129</v>
      </c>
    </row>
    <row r="14" spans="1:9" ht="17" thickBot="1" x14ac:dyDescent="0.25">
      <c r="A14" s="8" t="s">
        <v>20</v>
      </c>
      <c r="B14" s="8">
        <v>108</v>
      </c>
      <c r="C14" s="8">
        <v>17.22558409906404</v>
      </c>
      <c r="D14" s="8"/>
      <c r="E14" s="8"/>
      <c r="F14" s="8"/>
    </row>
    <row r="15" spans="1:9" ht="17" thickBot="1" x14ac:dyDescent="0.25"/>
    <row r="16" spans="1:9" x14ac:dyDescent="0.2">
      <c r="A16" s="9"/>
      <c r="B16" s="9" t="s">
        <v>27</v>
      </c>
      <c r="C16" s="9" t="s">
        <v>15</v>
      </c>
      <c r="D16" s="9" t="s">
        <v>28</v>
      </c>
      <c r="E16" s="9" t="s">
        <v>29</v>
      </c>
      <c r="F16" s="9" t="s">
        <v>30</v>
      </c>
      <c r="G16" s="9" t="s">
        <v>31</v>
      </c>
      <c r="H16" s="9" t="s">
        <v>32</v>
      </c>
      <c r="I16" s="9" t="s">
        <v>33</v>
      </c>
    </row>
    <row r="17" spans="1:9" x14ac:dyDescent="0.2">
      <c r="A17" t="s">
        <v>21</v>
      </c>
      <c r="B17">
        <v>2.9931826855916957E-2</v>
      </c>
      <c r="C17">
        <v>3.7722961804408296E-2</v>
      </c>
      <c r="D17">
        <v>0.79346438943771191</v>
      </c>
      <c r="E17">
        <v>0.4292633551894155</v>
      </c>
      <c r="F17">
        <v>-4.4849545298914759E-2</v>
      </c>
      <c r="G17">
        <v>0.10471319901074867</v>
      </c>
      <c r="H17">
        <v>-4.4849545298914759E-2</v>
      </c>
      <c r="I17">
        <v>0.10471319901074867</v>
      </c>
    </row>
    <row r="18" spans="1:9" ht="17" thickBot="1" x14ac:dyDescent="0.25">
      <c r="A18" s="8" t="s">
        <v>8</v>
      </c>
      <c r="B18" s="8">
        <v>-0.48987401068433334</v>
      </c>
      <c r="C18" s="8">
        <v>0.24323549646576603</v>
      </c>
      <c r="D18" s="8">
        <v>-2.0139906296665062</v>
      </c>
      <c r="E18" s="8">
        <v>4.6520002676538108E-2</v>
      </c>
      <c r="F18" s="8">
        <v>-0.97206001391449548</v>
      </c>
      <c r="G18" s="8">
        <v>-7.6880074541711418E-3</v>
      </c>
      <c r="H18" s="8">
        <v>-0.97206001391449548</v>
      </c>
      <c r="I18" s="8">
        <v>-7.6880074541711418E-3</v>
      </c>
    </row>
    <row r="22" spans="1:9" x14ac:dyDescent="0.2">
      <c r="A22" t="s">
        <v>34</v>
      </c>
      <c r="F22" t="s">
        <v>38</v>
      </c>
    </row>
    <row r="23" spans="1:9" ht="17" thickBot="1" x14ac:dyDescent="0.25"/>
    <row r="24" spans="1:9" x14ac:dyDescent="0.2">
      <c r="A24" s="9" t="s">
        <v>35</v>
      </c>
      <c r="B24" s="9" t="s">
        <v>42</v>
      </c>
      <c r="C24" s="9" t="s">
        <v>36</v>
      </c>
      <c r="D24" s="9" t="s">
        <v>37</v>
      </c>
      <c r="F24" s="9" t="s">
        <v>39</v>
      </c>
      <c r="G24" s="9" t="s">
        <v>41</v>
      </c>
    </row>
    <row r="25" spans="1:9" x14ac:dyDescent="0.2">
      <c r="A25">
        <v>1</v>
      </c>
      <c r="B25">
        <v>4.6261287128068512E-2</v>
      </c>
      <c r="C25">
        <v>-0.232942135117856</v>
      </c>
      <c r="D25">
        <v>-0.59422700555035957</v>
      </c>
      <c r="F25">
        <v>0.45871559633027525</v>
      </c>
      <c r="G25">
        <v>-0.91294847813014246</v>
      </c>
    </row>
    <row r="26" spans="1:9" x14ac:dyDescent="0.2">
      <c r="A26">
        <v>2</v>
      </c>
      <c r="B26">
        <v>-3.538503448466776E-2</v>
      </c>
      <c r="C26">
        <v>6.6543070743296198E-2</v>
      </c>
      <c r="D26">
        <v>0.16974897928152288</v>
      </c>
      <c r="F26">
        <v>1.3761467889908259</v>
      </c>
      <c r="G26">
        <v>-0.56727743209138404</v>
      </c>
    </row>
    <row r="27" spans="1:9" x14ac:dyDescent="0.2">
      <c r="A27">
        <v>3</v>
      </c>
      <c r="B27">
        <v>4.6261287128068512E-2</v>
      </c>
      <c r="C27">
        <v>0.4211885025389418</v>
      </c>
      <c r="D27">
        <v>1.0744367158364312</v>
      </c>
      <c r="F27">
        <v>2.2935779816513762</v>
      </c>
      <c r="G27">
        <v>-0.55123327476037964</v>
      </c>
    </row>
    <row r="28" spans="1:9" x14ac:dyDescent="0.2">
      <c r="A28">
        <v>4</v>
      </c>
      <c r="B28">
        <v>-1.905557421251642E-2</v>
      </c>
      <c r="C28">
        <v>-0.18217158289927241</v>
      </c>
      <c r="D28">
        <v>-0.46471315353847215</v>
      </c>
      <c r="F28">
        <v>3.2110091743119269</v>
      </c>
      <c r="G28">
        <v>-0.52883905773175244</v>
      </c>
    </row>
    <row r="29" spans="1:9" x14ac:dyDescent="0.2">
      <c r="A29">
        <v>5</v>
      </c>
      <c r="B29">
        <v>1.3602366583765402E-2</v>
      </c>
      <c r="C29">
        <v>-0.3128156792676422</v>
      </c>
      <c r="D29">
        <v>-0.79798154286842871</v>
      </c>
      <c r="F29">
        <v>4.1284403669724776</v>
      </c>
      <c r="G29">
        <v>-0.4666274454725664</v>
      </c>
    </row>
    <row r="30" spans="1:9" x14ac:dyDescent="0.2">
      <c r="A30">
        <v>6</v>
      </c>
      <c r="B30">
        <v>-5.1713515008798241E-2</v>
      </c>
      <c r="C30">
        <v>5.1713515008798241E-2</v>
      </c>
      <c r="D30">
        <v>0.13191931616242067</v>
      </c>
      <c r="F30">
        <v>5.0458715596330279</v>
      </c>
      <c r="G30">
        <v>-0.45774501029927223</v>
      </c>
    </row>
    <row r="31" spans="1:9" x14ac:dyDescent="0.2">
      <c r="A31">
        <v>7</v>
      </c>
      <c r="B31">
        <v>-1.905557421251642E-2</v>
      </c>
      <c r="C31">
        <v>-1.4281037237986384E-2</v>
      </c>
      <c r="D31">
        <v>-3.6430412169907708E-2</v>
      </c>
      <c r="F31">
        <v>5.9633027522935791</v>
      </c>
      <c r="G31">
        <v>-0.45602329720437318</v>
      </c>
    </row>
    <row r="32" spans="1:9" x14ac:dyDescent="0.2">
      <c r="A32">
        <v>8</v>
      </c>
      <c r="B32">
        <v>-2.7266038143754015E-3</v>
      </c>
      <c r="C32">
        <v>3.5665283160480024E-2</v>
      </c>
      <c r="D32">
        <v>9.0980854124287441E-2</v>
      </c>
      <c r="F32">
        <v>6.8807339449541294</v>
      </c>
      <c r="G32">
        <v>-0.42777137063000259</v>
      </c>
    </row>
    <row r="33" spans="1:7" x14ac:dyDescent="0.2">
      <c r="A33">
        <v>9</v>
      </c>
      <c r="B33">
        <v>1.3602856457776154E-2</v>
      </c>
      <c r="C33">
        <v>-4.7348518642540881E-2</v>
      </c>
      <c r="D33">
        <v>-0.12078436748236759</v>
      </c>
      <c r="F33">
        <v>7.7981651376146797</v>
      </c>
      <c r="G33">
        <v>-0.42657001325141125</v>
      </c>
    </row>
    <row r="34" spans="1:7" x14ac:dyDescent="0.2">
      <c r="A34">
        <v>10</v>
      </c>
      <c r="B34">
        <v>7.8919227924350119E-2</v>
      </c>
      <c r="C34">
        <v>0.12364354705477491</v>
      </c>
      <c r="D34">
        <v>0.31541023990705197</v>
      </c>
      <c r="F34">
        <v>8.7155963302752308</v>
      </c>
      <c r="G34">
        <v>-0.40177756733694597</v>
      </c>
    </row>
    <row r="35" spans="1:7" x14ac:dyDescent="0.2">
      <c r="A35">
        <v>11</v>
      </c>
      <c r="B35">
        <v>1.3602366583765402E-2</v>
      </c>
      <c r="C35">
        <v>2.0096651786887458E-2</v>
      </c>
      <c r="D35">
        <v>5.1265835641406958E-2</v>
      </c>
      <c r="F35">
        <v>9.6330275229357802</v>
      </c>
      <c r="G35">
        <v>-0.39774205907814575</v>
      </c>
    </row>
    <row r="36" spans="1:7" x14ac:dyDescent="0.2">
      <c r="A36">
        <v>12</v>
      </c>
      <c r="B36">
        <v>2.9931826855916957E-2</v>
      </c>
      <c r="C36">
        <v>0.27319595356253729</v>
      </c>
      <c r="D36">
        <v>0.69691304809156251</v>
      </c>
      <c r="F36">
        <v>10.550458715596331</v>
      </c>
      <c r="G36">
        <v>-0.36076676198164453</v>
      </c>
    </row>
    <row r="37" spans="1:7" x14ac:dyDescent="0.2">
      <c r="A37">
        <v>13</v>
      </c>
      <c r="B37">
        <v>1.3602856457776154E-2</v>
      </c>
      <c r="C37">
        <v>1.4639002638637051</v>
      </c>
      <c r="D37">
        <v>3.7343569027561045</v>
      </c>
      <c r="F37">
        <v>11.467889908256883</v>
      </c>
      <c r="G37">
        <v>-0.35125133611913434</v>
      </c>
    </row>
    <row r="38" spans="1:7" x14ac:dyDescent="0.2">
      <c r="A38">
        <v>14</v>
      </c>
      <c r="B38">
        <v>1.3602856457776154E-2</v>
      </c>
      <c r="C38">
        <v>0.31726541967941607</v>
      </c>
      <c r="D38">
        <v>0.80933267055954827</v>
      </c>
      <c r="F38">
        <v>12.385321100917432</v>
      </c>
      <c r="G38">
        <v>-0.33179538582722223</v>
      </c>
    </row>
    <row r="39" spans="1:7" x14ac:dyDescent="0.2">
      <c r="A39">
        <v>15</v>
      </c>
      <c r="B39">
        <v>-3.5385034484667982E-2</v>
      </c>
      <c r="C39">
        <v>2.4173098870478027E-3</v>
      </c>
      <c r="D39">
        <v>6.1664705483228197E-3</v>
      </c>
      <c r="F39">
        <v>13.302752293577983</v>
      </c>
      <c r="G39">
        <v>-0.32917210807931929</v>
      </c>
    </row>
    <row r="40" spans="1:7" x14ac:dyDescent="0.2">
      <c r="A40">
        <v>16</v>
      </c>
      <c r="B40">
        <v>-5.1713515008798241E-2</v>
      </c>
      <c r="C40">
        <v>0.28266362838522902</v>
      </c>
      <c r="D40">
        <v>0.72106474592229719</v>
      </c>
      <c r="F40">
        <v>14.220183486238533</v>
      </c>
      <c r="G40">
        <v>-0.2992133126838768</v>
      </c>
    </row>
    <row r="41" spans="1:7" x14ac:dyDescent="0.2">
      <c r="A41">
        <v>17</v>
      </c>
      <c r="B41">
        <v>-0.16601777741781631</v>
      </c>
      <c r="C41">
        <v>3.440734429984052E-2</v>
      </c>
      <c r="D41">
        <v>8.7771897350773495E-2</v>
      </c>
      <c r="F41">
        <v>15.137614678899084</v>
      </c>
      <c r="G41">
        <v>-0.29885642174461224</v>
      </c>
    </row>
    <row r="42" spans="1:7" x14ac:dyDescent="0.2">
      <c r="A42">
        <v>18</v>
      </c>
      <c r="B42">
        <v>-5.1714004882809E-2</v>
      </c>
      <c r="C42">
        <v>-0.24495945065012217</v>
      </c>
      <c r="D42">
        <v>-0.62488274509648933</v>
      </c>
      <c r="F42">
        <v>16.055045871559635</v>
      </c>
      <c r="G42">
        <v>-0.29771447646416355</v>
      </c>
    </row>
    <row r="43" spans="1:7" x14ac:dyDescent="0.2">
      <c r="A43">
        <v>19</v>
      </c>
      <c r="B43">
        <v>-6.8042975280949367E-2</v>
      </c>
      <c r="C43">
        <v>0.79527135258818227</v>
      </c>
      <c r="D43">
        <v>2.0287086070081926</v>
      </c>
      <c r="F43">
        <v>16.972477064220186</v>
      </c>
      <c r="G43">
        <v>-0.29751617253534057</v>
      </c>
    </row>
    <row r="44" spans="1:7" x14ac:dyDescent="0.2">
      <c r="A44">
        <v>20</v>
      </c>
      <c r="B44">
        <v>-6.8042975280949797E-2</v>
      </c>
      <c r="C44">
        <v>-0.35852703797046148</v>
      </c>
      <c r="D44">
        <v>-0.91458957424871856</v>
      </c>
      <c r="F44">
        <v>17.889908256880734</v>
      </c>
      <c r="G44">
        <v>-0.29741932300403529</v>
      </c>
    </row>
    <row r="45" spans="1:7" x14ac:dyDescent="0.2">
      <c r="A45">
        <v>21</v>
      </c>
      <c r="B45">
        <v>-3.5384544610657445E-2</v>
      </c>
      <c r="C45">
        <v>-0.19536702281876567</v>
      </c>
      <c r="D45">
        <v>-0.49837424600812347</v>
      </c>
      <c r="F45">
        <v>18.807339449541285</v>
      </c>
      <c r="G45">
        <v>-0.29667345553293117</v>
      </c>
    </row>
    <row r="46" spans="1:7" x14ac:dyDescent="0.2">
      <c r="A46">
        <v>22</v>
      </c>
      <c r="B46">
        <v>4.626079725405776E-2</v>
      </c>
      <c r="C46">
        <v>-0.11233515296904706</v>
      </c>
      <c r="D46">
        <v>-0.28656293346442135</v>
      </c>
      <c r="F46">
        <v>19.724770642201836</v>
      </c>
      <c r="G46">
        <v>-0.27149384604617383</v>
      </c>
    </row>
    <row r="47" spans="1:7" x14ac:dyDescent="0.2">
      <c r="A47">
        <v>23</v>
      </c>
      <c r="B47">
        <v>4.6260797254058197E-2</v>
      </c>
      <c r="C47">
        <v>-0.34377696978939876</v>
      </c>
      <c r="D47">
        <v>-0.87696268101850938</v>
      </c>
      <c r="F47">
        <v>20.642201834862387</v>
      </c>
      <c r="G47">
        <v>-0.23718781420770368</v>
      </c>
    </row>
    <row r="48" spans="1:7" x14ac:dyDescent="0.2">
      <c r="A48">
        <v>24</v>
      </c>
      <c r="B48">
        <v>-3.5384544610657445E-2</v>
      </c>
      <c r="C48">
        <v>6.7060841380390826E-2</v>
      </c>
      <c r="D48">
        <v>0.17106979354763654</v>
      </c>
      <c r="F48">
        <v>21.559633027522938</v>
      </c>
      <c r="G48">
        <v>-0.2307515674294231</v>
      </c>
    </row>
    <row r="49" spans="1:7" x14ac:dyDescent="0.2">
      <c r="A49">
        <v>25</v>
      </c>
      <c r="B49">
        <v>7.8919227924350119E-2</v>
      </c>
      <c r="C49">
        <v>-0.27334447917116267</v>
      </c>
      <c r="D49">
        <v>-0.69729193157529268</v>
      </c>
      <c r="F49">
        <v>22.47706422018349</v>
      </c>
      <c r="G49">
        <v>-0.22906126752708636</v>
      </c>
    </row>
    <row r="50" spans="1:7" x14ac:dyDescent="0.2">
      <c r="A50">
        <v>26</v>
      </c>
      <c r="B50">
        <v>4.6260797254058197E-2</v>
      </c>
      <c r="C50">
        <v>-0.20860249322683966</v>
      </c>
      <c r="D50">
        <v>-0.53213745481386832</v>
      </c>
      <c r="F50">
        <v>23.394495412844037</v>
      </c>
      <c r="G50">
        <v>-0.21134054857418452</v>
      </c>
    </row>
    <row r="51" spans="1:7" x14ac:dyDescent="0.2">
      <c r="A51">
        <v>27</v>
      </c>
      <c r="B51">
        <v>-1.9055574212516635E-2</v>
      </c>
      <c r="C51">
        <v>-0.11102493363145285</v>
      </c>
      <c r="D51">
        <v>-0.28322061107522001</v>
      </c>
      <c r="F51">
        <v>24.311926605504588</v>
      </c>
      <c r="G51">
        <v>-0.2111174492309239</v>
      </c>
    </row>
    <row r="52" spans="1:7" x14ac:dyDescent="0.2">
      <c r="A52">
        <v>28</v>
      </c>
      <c r="B52">
        <v>4.6261287128068512E-2</v>
      </c>
      <c r="C52">
        <v>-7.8828816070845686E-2</v>
      </c>
      <c r="D52">
        <v>-0.20108947357745774</v>
      </c>
      <c r="F52">
        <v>25.22935779816514</v>
      </c>
      <c r="G52">
        <v>-0.21082073694182255</v>
      </c>
    </row>
    <row r="53" spans="1:7" x14ac:dyDescent="0.2">
      <c r="A53">
        <v>29</v>
      </c>
      <c r="B53">
        <v>-3.538503448466776E-2</v>
      </c>
      <c r="C53">
        <v>-0.42063826271970539</v>
      </c>
      <c r="D53">
        <v>-1.0730330738548979</v>
      </c>
      <c r="F53">
        <v>26.146788990825691</v>
      </c>
      <c r="G53">
        <v>-0.20122715711178882</v>
      </c>
    </row>
    <row r="54" spans="1:7" x14ac:dyDescent="0.2">
      <c r="A54">
        <v>30</v>
      </c>
      <c r="B54">
        <v>-0.11703037634938294</v>
      </c>
      <c r="C54">
        <v>-0.11203089117770341</v>
      </c>
      <c r="D54">
        <v>-0.28578677258188268</v>
      </c>
      <c r="F54">
        <v>27.064220183486242</v>
      </c>
      <c r="G54">
        <v>-0.19880595286518254</v>
      </c>
    </row>
    <row r="55" spans="1:7" x14ac:dyDescent="0.2">
      <c r="A55">
        <v>31</v>
      </c>
      <c r="B55">
        <v>-8.4371945679090607E-2</v>
      </c>
      <c r="C55">
        <v>-0.27639481630255391</v>
      </c>
      <c r="D55">
        <v>-0.7050732318479489</v>
      </c>
      <c r="F55">
        <v>27.98165137614679</v>
      </c>
      <c r="G55">
        <v>-0.19442525124681254</v>
      </c>
    </row>
    <row r="56" spans="1:7" x14ac:dyDescent="0.2">
      <c r="A56">
        <v>32</v>
      </c>
      <c r="B56">
        <v>4.626079725405776E-2</v>
      </c>
      <c r="C56">
        <v>-0.37543290533337703</v>
      </c>
      <c r="D56">
        <v>-0.95771583362731572</v>
      </c>
      <c r="F56">
        <v>28.899082568807341</v>
      </c>
      <c r="G56">
        <v>-0.18668084798978749</v>
      </c>
    </row>
    <row r="57" spans="1:7" x14ac:dyDescent="0.2">
      <c r="A57">
        <v>33</v>
      </c>
      <c r="B57">
        <v>-2.7261139403650797E-3</v>
      </c>
      <c r="C57">
        <v>3.5756129813804952E-2</v>
      </c>
      <c r="D57">
        <v>9.1212600668304597E-2</v>
      </c>
      <c r="F57">
        <v>29.816513761467892</v>
      </c>
      <c r="G57">
        <v>-0.17531260844684929</v>
      </c>
    </row>
    <row r="58" spans="1:7" x14ac:dyDescent="0.2">
      <c r="A58">
        <v>34</v>
      </c>
      <c r="B58">
        <v>-2.7266038143754015E-3</v>
      </c>
      <c r="C58">
        <v>-0.12932937687415919</v>
      </c>
      <c r="D58">
        <v>-0.32991458720314004</v>
      </c>
      <c r="F58">
        <v>30.733944954128443</v>
      </c>
      <c r="G58">
        <v>-0.16234169597278145</v>
      </c>
    </row>
    <row r="59" spans="1:7" x14ac:dyDescent="0.2">
      <c r="A59">
        <v>35</v>
      </c>
      <c r="B59">
        <v>9.5248198322491359E-2</v>
      </c>
      <c r="C59">
        <v>-0.19442626889675529</v>
      </c>
      <c r="D59">
        <v>-0.49597441660090547</v>
      </c>
      <c r="F59">
        <v>31.651376146788994</v>
      </c>
      <c r="G59">
        <v>-0.13595764811596911</v>
      </c>
    </row>
    <row r="60" spans="1:7" x14ac:dyDescent="0.2">
      <c r="A60">
        <v>36</v>
      </c>
      <c r="B60">
        <v>-2.7261139403650797E-3</v>
      </c>
      <c r="C60">
        <v>-6.3454822587038648E-2</v>
      </c>
      <c r="D60">
        <v>-0.16187096934845144</v>
      </c>
      <c r="F60">
        <v>32.568807339449542</v>
      </c>
      <c r="G60">
        <v>-0.13258122499916455</v>
      </c>
    </row>
    <row r="61" spans="1:7" x14ac:dyDescent="0.2">
      <c r="A61">
        <v>37</v>
      </c>
      <c r="B61">
        <v>1.3602366583766273E-2</v>
      </c>
      <c r="C61">
        <v>5.2622398113126925E-2</v>
      </c>
      <c r="D61">
        <v>0.1342378442604279</v>
      </c>
      <c r="F61">
        <v>33.486238532110093</v>
      </c>
      <c r="G61">
        <v>-0.13236187305480746</v>
      </c>
    </row>
    <row r="62" spans="1:7" x14ac:dyDescent="0.2">
      <c r="A62">
        <v>38</v>
      </c>
      <c r="B62">
        <v>0.17689403006121646</v>
      </c>
      <c r="C62">
        <v>-0.30925590311602391</v>
      </c>
      <c r="D62">
        <v>-0.7889006819845209</v>
      </c>
      <c r="F62">
        <v>34.403669724770644</v>
      </c>
      <c r="G62">
        <v>-0.13205598068853458</v>
      </c>
    </row>
    <row r="63" spans="1:7" x14ac:dyDescent="0.2">
      <c r="A63">
        <v>39</v>
      </c>
      <c r="B63">
        <v>9.5248688196501674E-2</v>
      </c>
      <c r="C63">
        <v>-0.29405464106168422</v>
      </c>
      <c r="D63">
        <v>-0.75012280941729992</v>
      </c>
      <c r="F63">
        <v>35.321100917431188</v>
      </c>
      <c r="G63">
        <v>-0.13161043311797579</v>
      </c>
    </row>
    <row r="64" spans="1:7" x14ac:dyDescent="0.2">
      <c r="A64">
        <v>40</v>
      </c>
      <c r="B64">
        <v>9.5248198322491359E-2</v>
      </c>
      <c r="C64">
        <v>7.0758593575161385E-2</v>
      </c>
      <c r="D64">
        <v>0.18050262635332051</v>
      </c>
      <c r="F64">
        <v>36.238532110091739</v>
      </c>
      <c r="G64">
        <v>-0.13008050784396949</v>
      </c>
    </row>
    <row r="65" spans="1:7" x14ac:dyDescent="0.2">
      <c r="A65">
        <v>41</v>
      </c>
      <c r="B65">
        <v>0.11157765859464247</v>
      </c>
      <c r="C65">
        <v>-0.24415888359380702</v>
      </c>
      <c r="D65">
        <v>-0.62284052733981032</v>
      </c>
      <c r="F65">
        <v>37.155963302752291</v>
      </c>
      <c r="G65">
        <v>-0.10189645914558544</v>
      </c>
    </row>
    <row r="66" spans="1:7" x14ac:dyDescent="0.2">
      <c r="A66">
        <v>42</v>
      </c>
      <c r="B66">
        <v>1.3602366583765402E-2</v>
      </c>
      <c r="C66">
        <v>-1.3602366583765402E-2</v>
      </c>
      <c r="D66">
        <v>-3.4699147749202554E-2</v>
      </c>
      <c r="F66">
        <v>38.073394495412842</v>
      </c>
      <c r="G66">
        <v>-9.988471067284542E-2</v>
      </c>
    </row>
    <row r="67" spans="1:7" x14ac:dyDescent="0.2">
      <c r="A67">
        <v>43</v>
      </c>
      <c r="B67">
        <v>0.14423608926493525</v>
      </c>
      <c r="C67">
        <v>0.32041423732711366</v>
      </c>
      <c r="D67">
        <v>0.8173651910860249</v>
      </c>
      <c r="F67">
        <v>38.990825688073393</v>
      </c>
      <c r="G67">
        <v>-9.9281283794999203E-2</v>
      </c>
    </row>
    <row r="68" spans="1:7" x14ac:dyDescent="0.2">
      <c r="A68">
        <v>44</v>
      </c>
      <c r="B68">
        <v>2.9931826855916957E-2</v>
      </c>
      <c r="C68">
        <v>-0.55877088458766944</v>
      </c>
      <c r="D68">
        <v>-1.4254044223011175</v>
      </c>
      <c r="F68">
        <v>39.908256880733944</v>
      </c>
      <c r="G68">
        <v>-9.9178070574263949E-2</v>
      </c>
    </row>
    <row r="69" spans="1:7" x14ac:dyDescent="0.2">
      <c r="A69">
        <v>45</v>
      </c>
      <c r="B69">
        <v>7.8919227924350119E-2</v>
      </c>
      <c r="C69">
        <v>-0.37663370438851368</v>
      </c>
      <c r="D69">
        <v>-0.96077902881285193</v>
      </c>
      <c r="F69">
        <v>40.825688073394495</v>
      </c>
      <c r="G69">
        <v>-6.7796474783000882E-2</v>
      </c>
    </row>
    <row r="70" spans="1:7" x14ac:dyDescent="0.2">
      <c r="A70">
        <v>46</v>
      </c>
      <c r="B70">
        <v>9.5248198322491359E-2</v>
      </c>
      <c r="C70">
        <v>-0.42704358414971361</v>
      </c>
      <c r="D70">
        <v>-1.0893728183627587</v>
      </c>
      <c r="F70">
        <v>41.743119266055047</v>
      </c>
      <c r="G70">
        <v>-6.624299587735466E-2</v>
      </c>
    </row>
    <row r="71" spans="1:7" x14ac:dyDescent="0.2">
      <c r="A71">
        <v>47</v>
      </c>
      <c r="B71">
        <v>-5.1714004882808126E-2</v>
      </c>
      <c r="C71">
        <v>0.21816397110405228</v>
      </c>
      <c r="D71">
        <v>0.55652844086170139</v>
      </c>
      <c r="F71">
        <v>42.660550458715598</v>
      </c>
      <c r="G71">
        <v>-6.6180936527403728E-2</v>
      </c>
    </row>
    <row r="72" spans="1:7" x14ac:dyDescent="0.2">
      <c r="A72">
        <v>48</v>
      </c>
      <c r="B72">
        <v>0.16056505966307522</v>
      </c>
      <c r="C72">
        <v>0.17177134371829034</v>
      </c>
      <c r="D72">
        <v>0.43818251758291304</v>
      </c>
      <c r="F72">
        <v>43.577981651376149</v>
      </c>
      <c r="G72">
        <v>-6.6074355714989291E-2</v>
      </c>
    </row>
    <row r="73" spans="1:7" x14ac:dyDescent="0.2">
      <c r="A73">
        <v>49</v>
      </c>
      <c r="B73">
        <v>6.2590257526208878E-2</v>
      </c>
      <c r="C73">
        <v>-9.5716907354441216E-2</v>
      </c>
      <c r="D73">
        <v>-0.2441703868172834</v>
      </c>
      <c r="F73">
        <v>44.4954128440367</v>
      </c>
      <c r="G73">
        <v>-3.3745662184764727E-2</v>
      </c>
    </row>
    <row r="74" spans="1:7" x14ac:dyDescent="0.2">
      <c r="A74">
        <v>50</v>
      </c>
      <c r="B74">
        <v>4.6260797254058628E-2</v>
      </c>
      <c r="C74">
        <v>8.6289711601770347E-2</v>
      </c>
      <c r="D74">
        <v>0.22012194963775628</v>
      </c>
      <c r="F74">
        <v>45.412844036697244</v>
      </c>
      <c r="G74">
        <v>-3.3460581958242981E-2</v>
      </c>
    </row>
    <row r="75" spans="1:7" x14ac:dyDescent="0.2">
      <c r="A75">
        <v>51</v>
      </c>
      <c r="B75">
        <v>6.2590257526209309E-2</v>
      </c>
      <c r="C75">
        <v>-0.16187154132120851</v>
      </c>
      <c r="D75">
        <v>-0.41292847785763165</v>
      </c>
      <c r="F75">
        <v>46.330275229357795</v>
      </c>
      <c r="G75">
        <v>-3.3336611450502804E-2</v>
      </c>
    </row>
    <row r="76" spans="1:7" x14ac:dyDescent="0.2">
      <c r="A76">
        <v>52</v>
      </c>
      <c r="B76">
        <v>4.626079725405776E-2</v>
      </c>
      <c r="C76">
        <v>-0.11250379313141243</v>
      </c>
      <c r="D76">
        <v>-0.28699312845103125</v>
      </c>
      <c r="F76">
        <v>47.247706422018346</v>
      </c>
      <c r="G76">
        <v>-3.3126649828232345E-2</v>
      </c>
    </row>
    <row r="77" spans="1:7" x14ac:dyDescent="0.2">
      <c r="A77">
        <v>53</v>
      </c>
      <c r="B77">
        <v>0.17689403006121707</v>
      </c>
      <c r="C77">
        <v>-0.17689403006121707</v>
      </c>
      <c r="D77">
        <v>-0.45125030613216349</v>
      </c>
      <c r="F77">
        <v>48.165137614678898</v>
      </c>
      <c r="G77">
        <v>-3.2967724597620179E-2</v>
      </c>
    </row>
    <row r="78" spans="1:7" x14ac:dyDescent="0.2">
      <c r="A78">
        <v>54</v>
      </c>
      <c r="B78">
        <v>2.9931826855916957E-2</v>
      </c>
      <c r="C78">
        <v>3.2064709944842271E-3</v>
      </c>
      <c r="D78">
        <v>8.1795921397922796E-3</v>
      </c>
      <c r="F78">
        <v>49.082568807339449</v>
      </c>
      <c r="G78">
        <v>-3.2567528942777181E-2</v>
      </c>
    </row>
    <row r="79" spans="1:7" x14ac:dyDescent="0.2">
      <c r="A79">
        <v>55</v>
      </c>
      <c r="B79">
        <v>-3.5384544610657223E-2</v>
      </c>
      <c r="C79">
        <v>0.59867267128028823</v>
      </c>
      <c r="D79">
        <v>1.5271924445087259</v>
      </c>
      <c r="F79">
        <v>50</v>
      </c>
      <c r="G79">
        <v>0</v>
      </c>
    </row>
    <row r="80" spans="1:7" x14ac:dyDescent="0.2">
      <c r="A80">
        <v>56</v>
      </c>
      <c r="B80">
        <v>-2.7266038143754015E-3</v>
      </c>
      <c r="C80">
        <v>0.33222622929913198</v>
      </c>
      <c r="D80">
        <v>0.84749715761739597</v>
      </c>
      <c r="F80">
        <v>50.917431192660551</v>
      </c>
      <c r="G80">
        <v>0</v>
      </c>
    </row>
    <row r="81" spans="1:7" x14ac:dyDescent="0.2">
      <c r="A81">
        <v>57</v>
      </c>
      <c r="B81">
        <v>2.9931826855916957E-2</v>
      </c>
      <c r="C81">
        <v>0.39698639363369442</v>
      </c>
      <c r="D81">
        <v>1.0126980067982723</v>
      </c>
      <c r="F81">
        <v>51.834862385321102</v>
      </c>
      <c r="G81">
        <v>0</v>
      </c>
    </row>
    <row r="82" spans="1:7" x14ac:dyDescent="0.2">
      <c r="A82">
        <v>58</v>
      </c>
      <c r="B82">
        <v>-2.7266038143749644E-3</v>
      </c>
      <c r="C82">
        <v>0.85296387436383703</v>
      </c>
      <c r="D82">
        <v>2.1758801543113506</v>
      </c>
      <c r="F82">
        <v>52.752293577981654</v>
      </c>
      <c r="G82">
        <v>0</v>
      </c>
    </row>
    <row r="83" spans="1:7" x14ac:dyDescent="0.2">
      <c r="A83">
        <v>59</v>
      </c>
      <c r="B83">
        <v>-1.9055574212517072E-2</v>
      </c>
      <c r="C83">
        <v>-0.53217770054786262</v>
      </c>
      <c r="D83">
        <v>-1.3575661666243208</v>
      </c>
      <c r="F83">
        <v>53.669724770642205</v>
      </c>
      <c r="G83">
        <v>0</v>
      </c>
    </row>
    <row r="84" spans="1:7" x14ac:dyDescent="0.2">
      <c r="A84">
        <v>60</v>
      </c>
      <c r="B84">
        <v>-0.23133414888439052</v>
      </c>
      <c r="C84">
        <v>-0.68161432924575194</v>
      </c>
      <c r="D84">
        <v>-1.7387736297814698</v>
      </c>
      <c r="F84">
        <v>54.587155963302749</v>
      </c>
      <c r="G84">
        <v>0</v>
      </c>
    </row>
    <row r="85" spans="1:7" x14ac:dyDescent="0.2">
      <c r="A85">
        <v>61</v>
      </c>
      <c r="B85">
        <v>-0.23133414888439141</v>
      </c>
      <c r="C85">
        <v>-0.19643722174561118</v>
      </c>
      <c r="D85">
        <v>-0.50110428496531279</v>
      </c>
      <c r="F85">
        <v>55.5045871559633</v>
      </c>
      <c r="G85">
        <v>3.1158036258628438E-2</v>
      </c>
    </row>
    <row r="86" spans="1:7" x14ac:dyDescent="0.2">
      <c r="A86">
        <v>62</v>
      </c>
      <c r="B86">
        <v>-0.13335983662153322</v>
      </c>
      <c r="C86">
        <v>-0.16405948638250206</v>
      </c>
      <c r="D86">
        <v>-0.41850984698788091</v>
      </c>
      <c r="F86">
        <v>56.422018348623851</v>
      </c>
      <c r="G86">
        <v>3.1676296769733381E-2</v>
      </c>
    </row>
    <row r="87" spans="1:7" x14ac:dyDescent="0.2">
      <c r="A87">
        <v>63</v>
      </c>
      <c r="B87">
        <v>0.12790662899278282</v>
      </c>
      <c r="C87">
        <v>-0.52564868807092857</v>
      </c>
      <c r="D87">
        <v>-1.3409108907060912</v>
      </c>
      <c r="F87">
        <v>57.339449541284402</v>
      </c>
      <c r="G87">
        <v>3.2938679346104623E-2</v>
      </c>
    </row>
    <row r="88" spans="1:7" x14ac:dyDescent="0.2">
      <c r="A88">
        <v>64</v>
      </c>
      <c r="B88">
        <v>9.524868819650123E-2</v>
      </c>
      <c r="C88">
        <v>0.10256352467093285</v>
      </c>
      <c r="D88">
        <v>0.26163586125396981</v>
      </c>
      <c r="F88">
        <v>58.256880733944953</v>
      </c>
      <c r="G88">
        <v>3.3030015873439872E-2</v>
      </c>
    </row>
    <row r="89" spans="1:7" x14ac:dyDescent="0.2">
      <c r="A89">
        <v>65</v>
      </c>
      <c r="B89">
        <v>1.3602366583766273E-2</v>
      </c>
      <c r="C89">
        <v>-0.18891497503061555</v>
      </c>
      <c r="D89">
        <v>-0.48191530424183254</v>
      </c>
      <c r="F89">
        <v>59.174311926605505</v>
      </c>
      <c r="G89">
        <v>3.3138297850401184E-2</v>
      </c>
    </row>
    <row r="90" spans="1:7" x14ac:dyDescent="0.2">
      <c r="A90">
        <v>66</v>
      </c>
      <c r="B90">
        <v>6.2590257526209309E-2</v>
      </c>
      <c r="C90">
        <v>-0.41384159364534367</v>
      </c>
      <c r="D90">
        <v>-1.0556950155867735</v>
      </c>
      <c r="F90">
        <v>60.091743119266056</v>
      </c>
      <c r="G90">
        <v>3.3271682862153484E-2</v>
      </c>
    </row>
    <row r="91" spans="1:7" x14ac:dyDescent="0.2">
      <c r="A91">
        <v>67</v>
      </c>
      <c r="B91">
        <v>4.626079725405776E-2</v>
      </c>
      <c r="C91">
        <v>0.1299787397892086</v>
      </c>
      <c r="D91">
        <v>0.33157108863569557</v>
      </c>
      <c r="F91">
        <v>61.009174311926607</v>
      </c>
      <c r="G91">
        <v>3.3415955922394415E-2</v>
      </c>
    </row>
    <row r="92" spans="1:7" x14ac:dyDescent="0.2">
      <c r="A92">
        <v>68</v>
      </c>
      <c r="B92">
        <v>0.17452744871560072</v>
      </c>
      <c r="C92">
        <v>-0.38564489794652462</v>
      </c>
      <c r="D92">
        <v>-0.98376625936134132</v>
      </c>
      <c r="F92">
        <v>61.926605504587158</v>
      </c>
      <c r="G92">
        <v>3.369901837065286E-2</v>
      </c>
    </row>
    <row r="93" spans="1:7" x14ac:dyDescent="0.2">
      <c r="A93">
        <v>69</v>
      </c>
      <c r="B93">
        <v>7.2806580019030676E-2</v>
      </c>
      <c r="C93">
        <v>-7.2806580019030676E-2</v>
      </c>
      <c r="D93">
        <v>-0.18572696608615785</v>
      </c>
      <c r="F93">
        <v>62.844036697247709</v>
      </c>
      <c r="G93">
        <v>3.3993452177833158E-2</v>
      </c>
    </row>
    <row r="94" spans="1:7" x14ac:dyDescent="0.2">
      <c r="A94">
        <v>70</v>
      </c>
      <c r="B94">
        <v>0.1360904642152771</v>
      </c>
      <c r="C94">
        <v>-3.0313610052789666E-2</v>
      </c>
      <c r="D94">
        <v>-7.7328928576948106E-2</v>
      </c>
      <c r="F94">
        <v>63.761467889908261</v>
      </c>
      <c r="G94">
        <v>3.4026611336497113E-2</v>
      </c>
    </row>
    <row r="95" spans="1:7" x14ac:dyDescent="0.2">
      <c r="A95">
        <v>71</v>
      </c>
      <c r="B95">
        <v>1.3898250486218327E-2</v>
      </c>
      <c r="C95">
        <v>-0.22523879906040284</v>
      </c>
      <c r="D95">
        <v>-0.57457607242976927</v>
      </c>
      <c r="F95">
        <v>64.678899082568819</v>
      </c>
      <c r="G95">
        <v>6.6224764696893201E-2</v>
      </c>
    </row>
    <row r="96" spans="1:7" x14ac:dyDescent="0.2">
      <c r="A96">
        <v>72</v>
      </c>
      <c r="B96">
        <v>1.3602856457776154E-2</v>
      </c>
      <c r="C96">
        <v>0.44527318637494817</v>
      </c>
      <c r="D96">
        <v>1.1358758777478486</v>
      </c>
      <c r="F96">
        <v>65.596330275229363</v>
      </c>
      <c r="G96">
        <v>6.770467202121333E-2</v>
      </c>
    </row>
    <row r="97" spans="1:7" x14ac:dyDescent="0.2">
      <c r="A97">
        <v>73</v>
      </c>
      <c r="B97">
        <v>7.8919227924350119E-2</v>
      </c>
      <c r="C97">
        <v>-0.28973996486617265</v>
      </c>
      <c r="D97">
        <v>-0.73911622568232616</v>
      </c>
      <c r="F97">
        <v>66.513761467889921</v>
      </c>
      <c r="G97">
        <v>0.10577685416248743</v>
      </c>
    </row>
    <row r="98" spans="1:7" x14ac:dyDescent="0.2">
      <c r="A98">
        <v>74</v>
      </c>
      <c r="B98">
        <v>9.5248198322491359E-2</v>
      </c>
      <c r="C98">
        <v>-0.5529932086217636</v>
      </c>
      <c r="D98">
        <v>-1.4106657787898289</v>
      </c>
      <c r="F98">
        <v>67.431192660550465</v>
      </c>
      <c r="G98">
        <v>0.10600111446412892</v>
      </c>
    </row>
    <row r="99" spans="1:7" x14ac:dyDescent="0.2">
      <c r="A99">
        <v>75</v>
      </c>
      <c r="B99">
        <v>9.5248198322491359E-2</v>
      </c>
      <c r="C99">
        <v>-9.5248198322491359E-2</v>
      </c>
      <c r="D99">
        <v>-0.24297472694068334</v>
      </c>
      <c r="F99">
        <v>68.348623853211024</v>
      </c>
      <c r="G99">
        <v>0.10612402982813116</v>
      </c>
    </row>
    <row r="100" spans="1:7" x14ac:dyDescent="0.2">
      <c r="A100">
        <v>76</v>
      </c>
      <c r="B100">
        <v>1.360285645777572E-2</v>
      </c>
      <c r="C100">
        <v>9.2521173370355439E-2</v>
      </c>
      <c r="D100">
        <v>0.23601818440470559</v>
      </c>
      <c r="F100">
        <v>69.266055045871568</v>
      </c>
      <c r="G100">
        <v>0.13255050885582897</v>
      </c>
    </row>
    <row r="101" spans="1:7" x14ac:dyDescent="0.2">
      <c r="A101">
        <v>77</v>
      </c>
      <c r="B101">
        <v>7.8919227924350549E-2</v>
      </c>
      <c r="C101">
        <v>2.7081886539778374E-2</v>
      </c>
      <c r="D101">
        <v>6.9084918170965598E-2</v>
      </c>
      <c r="F101">
        <v>70.183486238532112</v>
      </c>
      <c r="G101">
        <v>0.13382435110464538</v>
      </c>
    </row>
    <row r="102" spans="1:7" x14ac:dyDescent="0.2">
      <c r="A102">
        <v>78</v>
      </c>
      <c r="B102">
        <v>0.11157765859464247</v>
      </c>
      <c r="C102">
        <v>0.55909692767067543</v>
      </c>
      <c r="D102">
        <v>1.4262361464750075</v>
      </c>
      <c r="F102">
        <v>71.10091743119267</v>
      </c>
      <c r="G102">
        <v>0.16600679189765274</v>
      </c>
    </row>
    <row r="103" spans="1:7" x14ac:dyDescent="0.2">
      <c r="A103">
        <v>79</v>
      </c>
      <c r="B103">
        <v>6.2589767652198994E-2</v>
      </c>
      <c r="C103">
        <v>0.4282834697297852</v>
      </c>
      <c r="D103">
        <v>1.0925357218670915</v>
      </c>
      <c r="F103">
        <v>72.018348623853214</v>
      </c>
      <c r="G103">
        <v>0.16644996622124417</v>
      </c>
    </row>
    <row r="104" spans="1:7" x14ac:dyDescent="0.2">
      <c r="A104">
        <v>80</v>
      </c>
      <c r="B104">
        <v>0.16056505966307605</v>
      </c>
      <c r="C104">
        <v>4.8784495801966171E-2</v>
      </c>
      <c r="D104">
        <v>0.12444749355035989</v>
      </c>
      <c r="F104">
        <v>72.935779816513772</v>
      </c>
      <c r="G104">
        <v>0.16706356980490059</v>
      </c>
    </row>
    <row r="105" spans="1:7" x14ac:dyDescent="0.2">
      <c r="A105">
        <v>81</v>
      </c>
      <c r="B105">
        <v>2.9931826855916957E-2</v>
      </c>
      <c r="C105">
        <v>2.1636616486569982</v>
      </c>
      <c r="D105">
        <v>5.5194230183178545</v>
      </c>
      <c r="F105">
        <v>73.853211009174316</v>
      </c>
      <c r="G105">
        <v>0.17623953704326636</v>
      </c>
    </row>
    <row r="106" spans="1:7" x14ac:dyDescent="0.2">
      <c r="A106">
        <v>82</v>
      </c>
      <c r="B106">
        <v>6.2590257526209309E-2</v>
      </c>
      <c r="C106">
        <v>0.3463056632525825</v>
      </c>
      <c r="D106">
        <v>0.88341328706203259</v>
      </c>
      <c r="F106">
        <v>74.770642201834875</v>
      </c>
      <c r="G106">
        <v>0.19781221286743408</v>
      </c>
    </row>
    <row r="107" spans="1:7" x14ac:dyDescent="0.2">
      <c r="A107">
        <v>83</v>
      </c>
      <c r="B107">
        <v>9.5248198322491137E-2</v>
      </c>
      <c r="C107">
        <v>-0.36674204436866498</v>
      </c>
      <c r="D107">
        <v>-0.93554575999893375</v>
      </c>
      <c r="F107">
        <v>75.688073394495419</v>
      </c>
      <c r="G107">
        <v>0.20256277497912503</v>
      </c>
    </row>
    <row r="108" spans="1:7" x14ac:dyDescent="0.2">
      <c r="A108">
        <v>84</v>
      </c>
      <c r="B108">
        <v>-2.7266038143754015E-3</v>
      </c>
      <c r="C108">
        <v>3.6753215150872515E-2</v>
      </c>
      <c r="D108">
        <v>9.3756129488558868E-2</v>
      </c>
      <c r="F108">
        <v>76.605504587155977</v>
      </c>
      <c r="G108">
        <v>0.20352740875737152</v>
      </c>
    </row>
    <row r="109" spans="1:7" x14ac:dyDescent="0.2">
      <c r="A109">
        <v>85</v>
      </c>
      <c r="B109">
        <v>0.11157765859464269</v>
      </c>
      <c r="C109">
        <v>0.26254766186228573</v>
      </c>
      <c r="D109">
        <v>0.66974963908414586</v>
      </c>
      <c r="F109">
        <v>77.522935779816521</v>
      </c>
      <c r="G109">
        <v>0.20934955546504222</v>
      </c>
    </row>
    <row r="110" spans="1:7" x14ac:dyDescent="0.2">
      <c r="A110">
        <v>86</v>
      </c>
      <c r="B110">
        <v>2.9931826855916957E-2</v>
      </c>
      <c r="C110">
        <v>-2.9931826855916957E-2</v>
      </c>
      <c r="D110">
        <v>-7.6355013378084091E-2</v>
      </c>
      <c r="F110">
        <v>78.440366972477079</v>
      </c>
      <c r="G110">
        <v>0.23095011337643076</v>
      </c>
    </row>
    <row r="111" spans="1:7" x14ac:dyDescent="0.2">
      <c r="A111">
        <v>87</v>
      </c>
      <c r="B111">
        <v>6.2590257526209309E-2</v>
      </c>
      <c r="C111">
        <v>-0.29977807173391302</v>
      </c>
      <c r="D111">
        <v>-0.76472307513613558</v>
      </c>
      <c r="F111">
        <v>79.357798165137623</v>
      </c>
      <c r="G111">
        <v>0.30312778041845423</v>
      </c>
    </row>
    <row r="112" spans="1:7" x14ac:dyDescent="0.2">
      <c r="A112">
        <v>88</v>
      </c>
      <c r="B112">
        <v>4.6260797254057975E-2</v>
      </c>
      <c r="C112">
        <v>-0.14815725639964342</v>
      </c>
      <c r="D112">
        <v>-0.37794383045546487</v>
      </c>
      <c r="F112">
        <v>80.275229357798167</v>
      </c>
      <c r="G112">
        <v>0.32949962548475659</v>
      </c>
    </row>
    <row r="113" spans="1:7" x14ac:dyDescent="0.2">
      <c r="A113">
        <v>89</v>
      </c>
      <c r="B113">
        <v>6.2590257526209309E-2</v>
      </c>
      <c r="C113">
        <v>-2.859680534837615E-2</v>
      </c>
      <c r="D113">
        <v>-7.2949421545717957E-2</v>
      </c>
      <c r="F113">
        <v>81.192660550458726</v>
      </c>
      <c r="G113">
        <v>0.33086827613719222</v>
      </c>
    </row>
    <row r="114" spans="1:7" x14ac:dyDescent="0.2">
      <c r="A114">
        <v>90</v>
      </c>
      <c r="B114">
        <v>9.5248198322491137E-2</v>
      </c>
      <c r="C114">
        <v>-0.23120584643846026</v>
      </c>
      <c r="D114">
        <v>-0.58979779559997292</v>
      </c>
      <c r="F114">
        <v>82.11009174311927</v>
      </c>
      <c r="G114">
        <v>0.33233640338136555</v>
      </c>
    </row>
    <row r="115" spans="1:7" x14ac:dyDescent="0.2">
      <c r="A115">
        <v>91</v>
      </c>
      <c r="B115">
        <v>4.6260797254057975E-2</v>
      </c>
      <c r="C115">
        <v>0.39619560096352291</v>
      </c>
      <c r="D115">
        <v>1.0106807231489683</v>
      </c>
      <c r="F115">
        <v>83.027522935779828</v>
      </c>
      <c r="G115">
        <v>0.3683617424803094</v>
      </c>
    </row>
    <row r="116" spans="1:7" x14ac:dyDescent="0.2">
      <c r="A116">
        <v>92</v>
      </c>
      <c r="B116">
        <v>9.5248688196501896E-2</v>
      </c>
      <c r="C116">
        <v>-0.16304516297950278</v>
      </c>
      <c r="D116">
        <v>-0.41592234448165138</v>
      </c>
      <c r="F116">
        <v>83.944954128440372</v>
      </c>
      <c r="G116">
        <v>0.37412532045692842</v>
      </c>
    </row>
    <row r="117" spans="1:7" x14ac:dyDescent="0.2">
      <c r="A117">
        <v>93</v>
      </c>
      <c r="B117">
        <v>2.9931826855916957E-2</v>
      </c>
      <c r="C117">
        <v>0.17359558190145458</v>
      </c>
      <c r="D117">
        <v>0.44283608355303633</v>
      </c>
      <c r="F117">
        <v>84.86238532110093</v>
      </c>
      <c r="G117">
        <v>0.40007152555760356</v>
      </c>
    </row>
    <row r="118" spans="1:7" x14ac:dyDescent="0.2">
      <c r="A118">
        <v>94</v>
      </c>
      <c r="B118">
        <v>6.2589767652198564E-2</v>
      </c>
      <c r="C118">
        <v>5.1149043690147666E-3</v>
      </c>
      <c r="D118">
        <v>1.3047937013792367E-2</v>
      </c>
      <c r="F118">
        <v>85.779816513761475</v>
      </c>
      <c r="G118">
        <v>0.40575389312490601</v>
      </c>
    </row>
    <row r="119" spans="1:7" x14ac:dyDescent="0.2">
      <c r="A119">
        <v>95</v>
      </c>
      <c r="B119">
        <v>9.5248688196501896E-2</v>
      </c>
      <c r="C119">
        <v>0.31050520492840411</v>
      </c>
      <c r="D119">
        <v>0.79208760595868177</v>
      </c>
      <c r="F119">
        <v>86.697247706422033</v>
      </c>
      <c r="G119">
        <v>0.40889592077879183</v>
      </c>
    </row>
    <row r="120" spans="1:7" x14ac:dyDescent="0.2">
      <c r="A120">
        <v>96</v>
      </c>
      <c r="B120">
        <v>0.11157716872063216</v>
      </c>
      <c r="C120">
        <v>0.49469334960146127</v>
      </c>
      <c r="D120">
        <v>1.2619449360272488</v>
      </c>
      <c r="F120">
        <v>87.614678899082577</v>
      </c>
      <c r="G120">
        <v>0.42691822048961137</v>
      </c>
    </row>
    <row r="121" spans="1:7" x14ac:dyDescent="0.2">
      <c r="A121">
        <v>97</v>
      </c>
      <c r="B121">
        <v>0.11157765859464269</v>
      </c>
      <c r="C121">
        <v>-0.51335522593158867</v>
      </c>
      <c r="D121">
        <v>-1.3095507111009257</v>
      </c>
      <c r="F121">
        <v>88.532110091743135</v>
      </c>
      <c r="G121">
        <v>0.44245639821758087</v>
      </c>
    </row>
    <row r="122" spans="1:7" x14ac:dyDescent="0.2">
      <c r="A122">
        <v>98</v>
      </c>
      <c r="B122">
        <v>-2.7266038143754015E-3</v>
      </c>
      <c r="C122">
        <v>0.5069497574721864</v>
      </c>
      <c r="D122">
        <v>1.293210591526371</v>
      </c>
      <c r="F122">
        <v>89.449541284403679</v>
      </c>
      <c r="G122">
        <v>0.45887604283272432</v>
      </c>
    </row>
    <row r="123" spans="1:7" x14ac:dyDescent="0.2">
      <c r="A123">
        <v>99</v>
      </c>
      <c r="B123">
        <v>1.3602856457775939E-2</v>
      </c>
      <c r="C123">
        <v>0.12022149464686945</v>
      </c>
      <c r="D123">
        <v>0.3066807073381278</v>
      </c>
      <c r="F123">
        <v>90.366972477064223</v>
      </c>
      <c r="G123">
        <v>0.46465032659204891</v>
      </c>
    </row>
    <row r="124" spans="1:7" x14ac:dyDescent="0.2">
      <c r="A124">
        <v>100</v>
      </c>
      <c r="B124">
        <v>2.9931826855916957E-2</v>
      </c>
      <c r="C124">
        <v>-6.3392408814159945E-2</v>
      </c>
      <c r="D124">
        <v>-0.16171175405945251</v>
      </c>
      <c r="F124">
        <v>91.284403669724782</v>
      </c>
      <c r="G124">
        <v>0.46744978966701034</v>
      </c>
    </row>
    <row r="125" spans="1:7" x14ac:dyDescent="0.2">
      <c r="A125">
        <v>101</v>
      </c>
      <c r="B125">
        <v>7.8919227924350327E-2</v>
      </c>
      <c r="C125">
        <v>8.8144341880550259E-2</v>
      </c>
      <c r="D125">
        <v>0.22485304475030357</v>
      </c>
      <c r="F125">
        <v>92.201834862385326</v>
      </c>
      <c r="G125">
        <v>0.49087323738198418</v>
      </c>
    </row>
    <row r="126" spans="1:7" x14ac:dyDescent="0.2">
      <c r="A126">
        <v>102</v>
      </c>
      <c r="B126">
        <v>9.5248198322491137E-2</v>
      </c>
      <c r="C126">
        <v>-6.1832242400096722E-2</v>
      </c>
      <c r="D126">
        <v>-0.1577318256711428</v>
      </c>
      <c r="F126">
        <v>93.119266055045884</v>
      </c>
      <c r="G126">
        <v>0.50422315365781101</v>
      </c>
    </row>
    <row r="127" spans="1:7" x14ac:dyDescent="0.2">
      <c r="A127">
        <v>103</v>
      </c>
      <c r="B127">
        <v>1.3602856457776154E-2</v>
      </c>
      <c r="C127">
        <v>0.38646866909982741</v>
      </c>
      <c r="D127">
        <v>0.98586766993456465</v>
      </c>
      <c r="F127">
        <v>94.036697247706428</v>
      </c>
      <c r="G127">
        <v>0.56328812666963102</v>
      </c>
    </row>
    <row r="128" spans="1:7" x14ac:dyDescent="0.2">
      <c r="A128">
        <v>104</v>
      </c>
      <c r="B128">
        <v>-5.1714004882808778E-2</v>
      </c>
      <c r="C128">
        <v>8.4985687744962263E-2</v>
      </c>
      <c r="D128">
        <v>0.21679543169713017</v>
      </c>
      <c r="F128">
        <v>94.954128440366986</v>
      </c>
      <c r="G128">
        <v>0.60627051832209344</v>
      </c>
    </row>
    <row r="129" spans="1:7" x14ac:dyDescent="0.2">
      <c r="A129">
        <v>105</v>
      </c>
      <c r="B129">
        <v>-0.11703037634938317</v>
      </c>
      <c r="C129">
        <v>-0.18182604539522906</v>
      </c>
      <c r="D129">
        <v>-0.46383169979791494</v>
      </c>
      <c r="F129">
        <v>95.87155963302753</v>
      </c>
      <c r="G129">
        <v>0.67067458626531795</v>
      </c>
    </row>
    <row r="130" spans="1:7" x14ac:dyDescent="0.2">
      <c r="A130">
        <v>106</v>
      </c>
      <c r="B130">
        <v>-8.4371945679090607E-2</v>
      </c>
      <c r="C130">
        <v>-1.5512764993754813E-2</v>
      </c>
      <c r="D130">
        <v>-3.9572505357957283E-2</v>
      </c>
      <c r="F130">
        <v>96.788990825688089</v>
      </c>
      <c r="G130">
        <v>0.72722837730723289</v>
      </c>
    </row>
    <row r="131" spans="1:7" x14ac:dyDescent="0.2">
      <c r="A131">
        <v>107</v>
      </c>
      <c r="B131">
        <v>-3.5384544610657223E-2</v>
      </c>
      <c r="C131">
        <v>-0.4312429008619092</v>
      </c>
      <c r="D131">
        <v>-1.1000851242063667</v>
      </c>
      <c r="F131">
        <v>97.706422018348633</v>
      </c>
      <c r="G131">
        <v>0.85023727054946208</v>
      </c>
    </row>
    <row r="132" spans="1:7" x14ac:dyDescent="0.2">
      <c r="A132">
        <v>108</v>
      </c>
      <c r="B132">
        <v>0.12790662899278371</v>
      </c>
      <c r="C132">
        <v>0.24045511348752568</v>
      </c>
      <c r="D132">
        <v>0.61339234305838364</v>
      </c>
      <c r="F132">
        <v>98.623853211009177</v>
      </c>
      <c r="G132">
        <v>1.4775031203214812</v>
      </c>
    </row>
    <row r="133" spans="1:7" ht="17" thickBot="1" x14ac:dyDescent="0.25">
      <c r="A133" s="8">
        <v>109</v>
      </c>
      <c r="B133" s="8">
        <v>2.9931826855916957E-2</v>
      </c>
      <c r="C133" s="8">
        <v>-0.59720925894730104</v>
      </c>
      <c r="D133" s="8">
        <v>-1.5234593323000802</v>
      </c>
      <c r="F133" s="8">
        <v>99.541284403669735</v>
      </c>
      <c r="G133" s="8">
        <v>2.1935934755129152</v>
      </c>
    </row>
  </sheetData>
  <sortState xmlns:xlrd2="http://schemas.microsoft.com/office/spreadsheetml/2017/richdata2" ref="G25:G133">
    <sortCondition ref="G25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998F-A0C2-324D-BBF7-396B215CDAAE}">
  <dimension ref="A1:I133"/>
  <sheetViews>
    <sheetView workbookViewId="0">
      <selection activeCell="S31" sqref="S31"/>
    </sheetView>
  </sheetViews>
  <sheetFormatPr baseColWidth="10" defaultRowHeight="16" x14ac:dyDescent="0.2"/>
  <sheetData>
    <row r="1" spans="1:9" x14ac:dyDescent="0.2">
      <c r="A1" t="s">
        <v>10</v>
      </c>
    </row>
    <row r="2" spans="1:9" ht="17" thickBot="1" x14ac:dyDescent="0.25"/>
    <row r="3" spans="1:9" x14ac:dyDescent="0.2">
      <c r="A3" s="10" t="s">
        <v>11</v>
      </c>
      <c r="B3" s="10"/>
    </row>
    <row r="4" spans="1:9" x14ac:dyDescent="0.2">
      <c r="A4" t="s">
        <v>12</v>
      </c>
      <c r="B4">
        <v>0.77437984687999362</v>
      </c>
    </row>
    <row r="5" spans="1:9" x14ac:dyDescent="0.2">
      <c r="A5" t="s">
        <v>13</v>
      </c>
      <c r="B5">
        <v>0.5996641472538824</v>
      </c>
    </row>
    <row r="6" spans="1:9" x14ac:dyDescent="0.2">
      <c r="A6" t="s">
        <v>14</v>
      </c>
      <c r="B6">
        <v>0.59592269068616166</v>
      </c>
    </row>
    <row r="7" spans="1:9" x14ac:dyDescent="0.2">
      <c r="A7" t="s">
        <v>15</v>
      </c>
      <c r="B7">
        <v>1.5717330680764401E-2</v>
      </c>
    </row>
    <row r="8" spans="1:9" ht="17" thickBot="1" x14ac:dyDescent="0.25">
      <c r="A8" s="8" t="s">
        <v>16</v>
      </c>
      <c r="B8" s="8">
        <v>109</v>
      </c>
    </row>
    <row r="10" spans="1:9" ht="17" thickBot="1" x14ac:dyDescent="0.25">
      <c r="A10" t="s">
        <v>17</v>
      </c>
    </row>
    <row r="11" spans="1:9" x14ac:dyDescent="0.2">
      <c r="A11" s="9"/>
      <c r="B11" s="9" t="s">
        <v>22</v>
      </c>
      <c r="C11" s="9" t="s">
        <v>23</v>
      </c>
      <c r="D11" s="9" t="s">
        <v>24</v>
      </c>
      <c r="E11" s="9" t="s">
        <v>25</v>
      </c>
      <c r="F11" s="9" t="s">
        <v>26</v>
      </c>
    </row>
    <row r="12" spans="1:9" x14ac:dyDescent="0.2">
      <c r="A12" t="s">
        <v>18</v>
      </c>
      <c r="B12">
        <v>1</v>
      </c>
      <c r="C12">
        <v>3.9593596864228059E-2</v>
      </c>
      <c r="D12">
        <v>3.9593596864228059E-2</v>
      </c>
      <c r="E12">
        <v>160.27558690042324</v>
      </c>
      <c r="F12">
        <v>5.3011270404374202E-23</v>
      </c>
    </row>
    <row r="13" spans="1:9" x14ac:dyDescent="0.2">
      <c r="A13" t="s">
        <v>19</v>
      </c>
      <c r="B13">
        <v>107</v>
      </c>
      <c r="C13">
        <v>2.6432689758949277E-2</v>
      </c>
      <c r="D13">
        <v>2.4703448372849794E-4</v>
      </c>
    </row>
    <row r="14" spans="1:9" ht="17" thickBot="1" x14ac:dyDescent="0.25">
      <c r="A14" s="8" t="s">
        <v>20</v>
      </c>
      <c r="B14" s="8">
        <v>108</v>
      </c>
      <c r="C14" s="8">
        <v>6.6026286623177333E-2</v>
      </c>
      <c r="D14" s="8"/>
      <c r="E14" s="8"/>
      <c r="F14" s="8"/>
    </row>
    <row r="15" spans="1:9" ht="17" thickBot="1" x14ac:dyDescent="0.25"/>
    <row r="16" spans="1:9" x14ac:dyDescent="0.2">
      <c r="A16" s="9"/>
      <c r="B16" s="9" t="s">
        <v>27</v>
      </c>
      <c r="C16" s="9" t="s">
        <v>15</v>
      </c>
      <c r="D16" s="9" t="s">
        <v>28</v>
      </c>
      <c r="E16" s="9" t="s">
        <v>29</v>
      </c>
      <c r="F16" s="9" t="s">
        <v>30</v>
      </c>
      <c r="G16" s="9" t="s">
        <v>31</v>
      </c>
      <c r="H16" s="9" t="s">
        <v>32</v>
      </c>
      <c r="I16" s="9" t="s">
        <v>33</v>
      </c>
    </row>
    <row r="17" spans="1:9" x14ac:dyDescent="0.2">
      <c r="A17" t="s">
        <v>21</v>
      </c>
      <c r="B17">
        <v>6.1069641687224525</v>
      </c>
      <c r="C17">
        <v>1.667821708322127E-3</v>
      </c>
      <c r="D17">
        <v>3661.6408925785126</v>
      </c>
      <c r="E17">
        <v>1.3956504455247862E-274</v>
      </c>
      <c r="F17">
        <v>6.1036579067034564</v>
      </c>
      <c r="G17">
        <v>6.1102704307414486</v>
      </c>
      <c r="H17">
        <v>6.1036579067034564</v>
      </c>
      <c r="I17">
        <v>6.1102704307414486</v>
      </c>
    </row>
    <row r="18" spans="1:9" ht="17" thickBot="1" x14ac:dyDescent="0.25">
      <c r="A18" s="8" t="s">
        <v>46</v>
      </c>
      <c r="B18" s="8">
        <v>-4.852396926115958E-2</v>
      </c>
      <c r="C18" s="8">
        <v>3.8328571282882982E-3</v>
      </c>
      <c r="D18" s="8">
        <v>-12.659999482639137</v>
      </c>
      <c r="E18" s="8">
        <v>5.3011270404374202E-23</v>
      </c>
      <c r="F18" s="8">
        <v>-5.6122161492537653E-2</v>
      </c>
      <c r="G18" s="8">
        <v>-4.0925777029781507E-2</v>
      </c>
      <c r="H18" s="8">
        <v>-5.6122161492537653E-2</v>
      </c>
      <c r="I18" s="8">
        <v>-4.0925777029781507E-2</v>
      </c>
    </row>
    <row r="22" spans="1:9" x14ac:dyDescent="0.2">
      <c r="A22" t="s">
        <v>34</v>
      </c>
      <c r="F22" t="s">
        <v>38</v>
      </c>
    </row>
    <row r="23" spans="1:9" ht="17" thickBot="1" x14ac:dyDescent="0.25"/>
    <row r="24" spans="1:9" x14ac:dyDescent="0.2">
      <c r="A24" s="9" t="s">
        <v>35</v>
      </c>
      <c r="B24" s="9" t="s">
        <v>47</v>
      </c>
      <c r="C24" s="9" t="s">
        <v>36</v>
      </c>
      <c r="D24" s="9" t="s">
        <v>37</v>
      </c>
      <c r="F24" s="9" t="s">
        <v>39</v>
      </c>
      <c r="G24" s="9" t="s">
        <v>45</v>
      </c>
    </row>
    <row r="25" spans="1:9" x14ac:dyDescent="0.2">
      <c r="A25">
        <v>1</v>
      </c>
      <c r="B25">
        <v>6.0187126553683292</v>
      </c>
      <c r="C25">
        <v>2.7051394774030513E-2</v>
      </c>
      <c r="D25">
        <v>1.7291428002786566</v>
      </c>
      <c r="F25">
        <v>0.45871559633027525</v>
      </c>
      <c r="G25">
        <v>6.0457640501423597</v>
      </c>
    </row>
    <row r="26" spans="1:9" x14ac:dyDescent="0.2">
      <c r="A26">
        <v>2</v>
      </c>
      <c r="B26">
        <v>6.0251533485174047</v>
      </c>
      <c r="C26">
        <v>2.2370643813554025E-2</v>
      </c>
      <c r="D26">
        <v>1.4299461455104037</v>
      </c>
      <c r="F26">
        <v>1.3761467889908259</v>
      </c>
      <c r="G26">
        <v>6.0475239923309587</v>
      </c>
    </row>
    <row r="27" spans="1:9" x14ac:dyDescent="0.2">
      <c r="A27">
        <v>3</v>
      </c>
      <c r="B27">
        <v>6.0315775750317808</v>
      </c>
      <c r="C27">
        <v>1.770475002224714E-2</v>
      </c>
      <c r="D27">
        <v>1.1316991706871866</v>
      </c>
      <c r="F27">
        <v>2.2935779816513762</v>
      </c>
      <c r="G27">
        <v>6.049282325054028</v>
      </c>
    </row>
    <row r="28" spans="1:9" x14ac:dyDescent="0.2">
      <c r="A28">
        <v>4</v>
      </c>
      <c r="B28">
        <v>6.0379578077182545</v>
      </c>
      <c r="C28">
        <v>1.3075453612452215E-2</v>
      </c>
      <c r="D28">
        <v>0.83579152436363002</v>
      </c>
      <c r="F28">
        <v>3.2110091743119269</v>
      </c>
      <c r="G28">
        <v>6.0510332613307067</v>
      </c>
    </row>
    <row r="29" spans="1:9" x14ac:dyDescent="0.2">
      <c r="A29">
        <v>5</v>
      </c>
      <c r="B29">
        <v>6.0442599548409301</v>
      </c>
      <c r="C29">
        <v>8.5088695972528328E-3</v>
      </c>
      <c r="D29">
        <v>0.54389249521153327</v>
      </c>
      <c r="F29">
        <v>4.1284403669724776</v>
      </c>
      <c r="G29">
        <v>6.052768824438183</v>
      </c>
    </row>
    <row r="30" spans="1:9" x14ac:dyDescent="0.2">
      <c r="A30">
        <v>6</v>
      </c>
      <c r="B30">
        <v>6.0504187140950245</v>
      </c>
      <c r="C30">
        <v>4.0579920715364537E-3</v>
      </c>
      <c r="D30">
        <v>0.25938950034551794</v>
      </c>
      <c r="F30">
        <v>5.0458715596330279</v>
      </c>
      <c r="G30">
        <v>6.054476706166561</v>
      </c>
    </row>
    <row r="31" spans="1:9" x14ac:dyDescent="0.2">
      <c r="A31">
        <v>7</v>
      </c>
      <c r="B31">
        <v>6.0563526495152393</v>
      </c>
      <c r="C31">
        <v>-2.1053525832925857E-4</v>
      </c>
      <c r="D31">
        <v>-1.3457551049986163E-2</v>
      </c>
      <c r="F31">
        <v>5.9633027522935791</v>
      </c>
      <c r="G31">
        <v>6.0561421142569101</v>
      </c>
    </row>
    <row r="32" spans="1:9" x14ac:dyDescent="0.2">
      <c r="A32">
        <v>8</v>
      </c>
      <c r="B32">
        <v>6.0619868549386657</v>
      </c>
      <c r="C32">
        <v>-4.2375635295259784E-3</v>
      </c>
      <c r="D32">
        <v>-0.27086782507930263</v>
      </c>
      <c r="F32">
        <v>6.8807339449541294</v>
      </c>
      <c r="G32">
        <v>6.0577492914091398</v>
      </c>
    </row>
    <row r="33" spans="1:7" x14ac:dyDescent="0.2">
      <c r="A33">
        <v>9</v>
      </c>
      <c r="B33">
        <v>6.0672627914704869</v>
      </c>
      <c r="C33">
        <v>-7.97916662566589E-3</v>
      </c>
      <c r="D33">
        <v>-0.5100335357287834</v>
      </c>
      <c r="F33">
        <v>7.7981651376146797</v>
      </c>
      <c r="G33">
        <v>6.059283624844821</v>
      </c>
    </row>
    <row r="34" spans="1:7" x14ac:dyDescent="0.2">
      <c r="A34">
        <v>10</v>
      </c>
      <c r="B34">
        <v>6.0721367760681977</v>
      </c>
      <c r="C34">
        <v>-1.140544677615285E-2</v>
      </c>
      <c r="D34">
        <v>-0.729043597998836</v>
      </c>
      <c r="F34">
        <v>8.7155963302752308</v>
      </c>
      <c r="G34">
        <v>6.0607313292920448</v>
      </c>
    </row>
    <row r="35" spans="1:7" x14ac:dyDescent="0.2">
      <c r="A35">
        <v>11</v>
      </c>
      <c r="B35">
        <v>6.0765740551635643</v>
      </c>
      <c r="C35">
        <v>-1.4493361949434735E-2</v>
      </c>
      <c r="D35">
        <v>-0.92642515020173721</v>
      </c>
      <c r="F35">
        <v>9.6330275229357802</v>
      </c>
      <c r="G35">
        <v>6.0620806932141296</v>
      </c>
    </row>
    <row r="36" spans="1:7" x14ac:dyDescent="0.2">
      <c r="A36">
        <v>12</v>
      </c>
      <c r="B36">
        <v>6.0805532283366519</v>
      </c>
      <c r="C36">
        <v>-1.7228623517591579E-2</v>
      </c>
      <c r="D36">
        <v>-1.1012648539200021</v>
      </c>
      <c r="F36">
        <v>10.550458715596331</v>
      </c>
      <c r="G36">
        <v>6.0633246048190603</v>
      </c>
    </row>
    <row r="37" spans="1:7" x14ac:dyDescent="0.2">
      <c r="A37">
        <v>13</v>
      </c>
      <c r="B37">
        <v>6.0840583538040534</v>
      </c>
      <c r="C37">
        <v>-1.9598307627610723E-2</v>
      </c>
      <c r="D37">
        <v>-1.252736608038499</v>
      </c>
      <c r="F37">
        <v>11.467889908256883</v>
      </c>
      <c r="G37">
        <v>6.0644600461764426</v>
      </c>
    </row>
    <row r="38" spans="1:7" x14ac:dyDescent="0.2">
      <c r="A38">
        <v>14</v>
      </c>
      <c r="B38">
        <v>6.0870846325312611</v>
      </c>
      <c r="C38">
        <v>-2.1594294037280193E-2</v>
      </c>
      <c r="D38">
        <v>-1.3803213613779948</v>
      </c>
      <c r="F38">
        <v>12.385321100917432</v>
      </c>
      <c r="G38">
        <v>6.0654903384939809</v>
      </c>
    </row>
    <row r="39" spans="1:7" x14ac:dyDescent="0.2">
      <c r="A39">
        <v>15</v>
      </c>
      <c r="B39">
        <v>6.0896712268251951</v>
      </c>
      <c r="C39">
        <v>-2.3246162211469468E-2</v>
      </c>
      <c r="D39">
        <v>-1.4859098526283947</v>
      </c>
      <c r="F39">
        <v>13.302752293577983</v>
      </c>
      <c r="G39">
        <v>6.0664250646137257</v>
      </c>
    </row>
    <row r="40" spans="1:7" x14ac:dyDescent="0.2">
      <c r="A40">
        <v>16</v>
      </c>
      <c r="B40">
        <v>6.0918648976385947</v>
      </c>
      <c r="C40">
        <v>-2.458744413804137E-2</v>
      </c>
      <c r="D40">
        <v>-1.5716454683276708</v>
      </c>
      <c r="F40">
        <v>14.220183486238533</v>
      </c>
      <c r="G40">
        <v>6.0672774535005534</v>
      </c>
    </row>
    <row r="41" spans="1:7" x14ac:dyDescent="0.2">
      <c r="A41">
        <v>17</v>
      </c>
      <c r="B41">
        <v>6.0937076569940736</v>
      </c>
      <c r="C41">
        <v>-2.5643346968171166E-2</v>
      </c>
      <c r="D41">
        <v>-1.6391394660222214</v>
      </c>
      <c r="F41">
        <v>15.137614678899084</v>
      </c>
      <c r="G41">
        <v>6.0680643100259024</v>
      </c>
    </row>
    <row r="42" spans="1:7" x14ac:dyDescent="0.2">
      <c r="A42">
        <v>18</v>
      </c>
      <c r="B42">
        <v>6.0952446140022509</v>
      </c>
      <c r="C42">
        <v>-2.6439022653149458E-2</v>
      </c>
      <c r="D42">
        <v>-1.6899995748458083</v>
      </c>
      <c r="F42">
        <v>16.055045871559635</v>
      </c>
      <c r="G42">
        <v>6.0688055913491015</v>
      </c>
    </row>
    <row r="43" spans="1:7" x14ac:dyDescent="0.2">
      <c r="A43">
        <v>19</v>
      </c>
      <c r="B43">
        <v>6.0965118275891488</v>
      </c>
      <c r="C43">
        <v>-2.6991287977432776E-2</v>
      </c>
      <c r="D43">
        <v>-1.7253007346309153</v>
      </c>
      <c r="F43">
        <v>16.972477064220186</v>
      </c>
      <c r="G43">
        <v>6.069520539611716</v>
      </c>
    </row>
    <row r="44" spans="1:7" x14ac:dyDescent="0.2">
      <c r="A44">
        <v>20</v>
      </c>
      <c r="B44">
        <v>6.0975312497768428</v>
      </c>
      <c r="C44">
        <v>-2.7305167643864259E-2</v>
      </c>
      <c r="D44">
        <v>-1.7453641276610188</v>
      </c>
      <c r="F44">
        <v>17.889908256880734</v>
      </c>
      <c r="G44">
        <v>6.0702260821329785</v>
      </c>
    </row>
    <row r="45" spans="1:7" x14ac:dyDescent="0.2">
      <c r="A45">
        <v>21</v>
      </c>
      <c r="B45">
        <v>6.098346141709869</v>
      </c>
      <c r="C45">
        <v>-2.7409286953155032E-2</v>
      </c>
      <c r="D45">
        <v>-1.7520195018305964</v>
      </c>
      <c r="F45">
        <v>18.807339449541285</v>
      </c>
      <c r="G45">
        <v>6.070936854756714</v>
      </c>
    </row>
    <row r="46" spans="1:7" x14ac:dyDescent="0.2">
      <c r="A46">
        <v>22</v>
      </c>
      <c r="B46">
        <v>6.0989857479926419</v>
      </c>
      <c r="C46">
        <v>-2.7318815652151329E-2</v>
      </c>
      <c r="D46">
        <v>-1.7462365172536762</v>
      </c>
      <c r="F46">
        <v>19.724770642201836</v>
      </c>
      <c r="G46">
        <v>6.0716669323404906</v>
      </c>
    </row>
    <row r="47" spans="1:7" x14ac:dyDescent="0.2">
      <c r="A47">
        <v>23</v>
      </c>
      <c r="B47">
        <v>6.0994767915583061</v>
      </c>
      <c r="C47">
        <v>-2.7051192729912188E-2</v>
      </c>
      <c r="D47">
        <v>-1.7291298854868147</v>
      </c>
      <c r="F47">
        <v>20.642201834862387</v>
      </c>
      <c r="G47">
        <v>6.0724255988283939</v>
      </c>
    </row>
    <row r="48" spans="1:7" x14ac:dyDescent="0.2">
      <c r="A48">
        <v>24</v>
      </c>
      <c r="B48">
        <v>6.0998480681597869</v>
      </c>
      <c r="C48">
        <v>-2.6630109452479012E-2</v>
      </c>
      <c r="D48">
        <v>-1.7022139677098018</v>
      </c>
      <c r="F48">
        <v>21.559633027522938</v>
      </c>
      <c r="G48">
        <v>6.0732179587073079</v>
      </c>
    </row>
    <row r="49" spans="1:7" x14ac:dyDescent="0.2">
      <c r="A49">
        <v>25</v>
      </c>
      <c r="B49">
        <v>6.1001234236951127</v>
      </c>
      <c r="C49">
        <v>-2.607752974995492E-2</v>
      </c>
      <c r="D49">
        <v>-1.6668927126624677</v>
      </c>
      <c r="F49">
        <v>22.47706422018349</v>
      </c>
      <c r="G49">
        <v>6.0740458939451578</v>
      </c>
    </row>
    <row r="50" spans="1:7" x14ac:dyDescent="0.2">
      <c r="A50">
        <v>26</v>
      </c>
      <c r="B50">
        <v>6.1003315057378309</v>
      </c>
      <c r="C50">
        <v>-2.5423851300842237E-2</v>
      </c>
      <c r="D50">
        <v>-1.6251091597838705</v>
      </c>
      <c r="F50">
        <v>23.394495412844037</v>
      </c>
      <c r="G50">
        <v>6.0749076544369887</v>
      </c>
    </row>
    <row r="51" spans="1:7" x14ac:dyDescent="0.2">
      <c r="A51">
        <v>27</v>
      </c>
      <c r="B51">
        <v>6.1004987343494426</v>
      </c>
      <c r="C51">
        <v>-2.4696747200147584E-2</v>
      </c>
      <c r="D51">
        <v>-1.5786321913587071</v>
      </c>
      <c r="F51">
        <v>24.311926605504588</v>
      </c>
      <c r="G51">
        <v>6.075801987149295</v>
      </c>
    </row>
    <row r="52" spans="1:7" x14ac:dyDescent="0.2">
      <c r="A52">
        <v>28</v>
      </c>
      <c r="B52">
        <v>6.1006501450415325</v>
      </c>
      <c r="C52">
        <v>-2.3921332739213597E-2</v>
      </c>
      <c r="D52">
        <v>-1.5290671931929511</v>
      </c>
      <c r="F52">
        <v>25.22935779816514</v>
      </c>
      <c r="G52">
        <v>6.0767288123023189</v>
      </c>
    </row>
    <row r="53" spans="1:7" x14ac:dyDescent="0.2">
      <c r="A53">
        <v>29</v>
      </c>
      <c r="B53">
        <v>6.1008032873378708</v>
      </c>
      <c r="C53">
        <v>-2.3114546189221485E-2</v>
      </c>
      <c r="D53">
        <v>-1.4774968706297771</v>
      </c>
      <c r="F53">
        <v>26.146788990825691</v>
      </c>
      <c r="G53">
        <v>6.0776887411486493</v>
      </c>
    </row>
    <row r="54" spans="1:7" x14ac:dyDescent="0.2">
      <c r="A54">
        <v>30</v>
      </c>
      <c r="B54">
        <v>6.1009710874657195</v>
      </c>
      <c r="C54">
        <v>-2.2285983498053774E-2</v>
      </c>
      <c r="D54">
        <v>-1.4245346029175201</v>
      </c>
      <c r="F54">
        <v>27.064220183486242</v>
      </c>
      <c r="G54">
        <v>6.0786851039676657</v>
      </c>
    </row>
    <row r="55" spans="1:7" x14ac:dyDescent="0.2">
      <c r="A55">
        <v>31</v>
      </c>
      <c r="B55">
        <v>6.1011558856158086</v>
      </c>
      <c r="C55">
        <v>-2.1430518892755934E-2</v>
      </c>
      <c r="D55">
        <v>-1.3698527473052526</v>
      </c>
      <c r="F55">
        <v>27.98165137614679</v>
      </c>
      <c r="G55">
        <v>6.0797253667230526</v>
      </c>
    </row>
    <row r="56" spans="1:7" x14ac:dyDescent="0.2">
      <c r="A56">
        <v>32</v>
      </c>
      <c r="B56">
        <v>6.1013565175286537</v>
      </c>
      <c r="C56">
        <v>-2.0538062377155164E-2</v>
      </c>
      <c r="D56">
        <v>-1.3128063446556446</v>
      </c>
      <c r="F56">
        <v>28.899082568807341</v>
      </c>
      <c r="G56">
        <v>6.0808184551514985</v>
      </c>
    </row>
    <row r="57" spans="1:7" x14ac:dyDescent="0.2">
      <c r="A57">
        <v>33</v>
      </c>
      <c r="B57">
        <v>6.1015644169922272</v>
      </c>
      <c r="C57">
        <v>-1.9593254194890442E-2</v>
      </c>
      <c r="D57">
        <v>-1.2524135893225339</v>
      </c>
      <c r="F57">
        <v>29.816513761467892</v>
      </c>
      <c r="G57">
        <v>6.0819711627973367</v>
      </c>
    </row>
    <row r="58" spans="1:7" x14ac:dyDescent="0.2">
      <c r="A58">
        <v>34</v>
      </c>
      <c r="B58">
        <v>6.1017645092882322</v>
      </c>
      <c r="C58">
        <v>-1.8578009605741741E-2</v>
      </c>
      <c r="D58">
        <v>-1.1875184929139144</v>
      </c>
      <c r="F58">
        <v>30.733944954128443</v>
      </c>
      <c r="G58">
        <v>6.0831864996824905</v>
      </c>
    </row>
    <row r="59" spans="1:7" x14ac:dyDescent="0.2">
      <c r="A59">
        <v>35</v>
      </c>
      <c r="B59">
        <v>6.1019460659328946</v>
      </c>
      <c r="C59">
        <v>-1.7482612064521064E-2</v>
      </c>
      <c r="D59">
        <v>-1.1174999675230157</v>
      </c>
      <c r="F59">
        <v>31.651376146788994</v>
      </c>
      <c r="G59">
        <v>6.0844634538683735</v>
      </c>
    </row>
    <row r="60" spans="1:7" x14ac:dyDescent="0.2">
      <c r="A60">
        <v>36</v>
      </c>
      <c r="B60">
        <v>6.1020975426494086</v>
      </c>
      <c r="C60">
        <v>-1.6299152845765441E-2</v>
      </c>
      <c r="D60">
        <v>-1.0418524822591797</v>
      </c>
      <c r="F60">
        <v>32.568807339449542</v>
      </c>
      <c r="G60">
        <v>6.0857983898036432</v>
      </c>
    </row>
    <row r="61" spans="1:7" x14ac:dyDescent="0.2">
      <c r="A61">
        <v>37</v>
      </c>
      <c r="B61">
        <v>6.1022074629992193</v>
      </c>
      <c r="C61">
        <v>-1.5022313603524573E-2</v>
      </c>
      <c r="D61">
        <v>-0.96023608497996837</v>
      </c>
      <c r="F61">
        <v>33.486238532110093</v>
      </c>
      <c r="G61">
        <v>6.0871851493956948</v>
      </c>
    </row>
    <row r="62" spans="1:7" x14ac:dyDescent="0.2">
      <c r="A62">
        <v>38</v>
      </c>
      <c r="B62">
        <v>6.1022653244290259</v>
      </c>
      <c r="C62">
        <v>-1.3650375652546565E-2</v>
      </c>
      <c r="D62">
        <v>-0.87254091620293828</v>
      </c>
      <c r="F62">
        <v>34.403669724770644</v>
      </c>
      <c r="G62">
        <v>6.0886149487764794</v>
      </c>
    </row>
    <row r="63" spans="1:7" x14ac:dyDescent="0.2">
      <c r="A63">
        <v>39</v>
      </c>
      <c r="B63">
        <v>6.102265575429402</v>
      </c>
      <c r="C63">
        <v>-1.2189895868735867E-2</v>
      </c>
      <c r="D63">
        <v>-0.77918609571312114</v>
      </c>
      <c r="F63">
        <v>35.321100917431188</v>
      </c>
      <c r="G63">
        <v>6.0900756795606661</v>
      </c>
    </row>
    <row r="64" spans="1:7" x14ac:dyDescent="0.2">
      <c r="A64">
        <v>40</v>
      </c>
      <c r="B64">
        <v>6.1022015264114806</v>
      </c>
      <c r="C64">
        <v>-1.0648676998924245E-2</v>
      </c>
      <c r="D64">
        <v>-0.68067038017793635</v>
      </c>
      <c r="F64">
        <v>36.238532110091739</v>
      </c>
      <c r="G64">
        <v>6.0915528494125564</v>
      </c>
    </row>
    <row r="65" spans="1:7" x14ac:dyDescent="0.2">
      <c r="A65">
        <v>41</v>
      </c>
      <c r="B65">
        <v>6.102063364796007</v>
      </c>
      <c r="C65">
        <v>-9.0338519478692092E-3</v>
      </c>
      <c r="D65">
        <v>-0.57744970952246177</v>
      </c>
      <c r="F65">
        <v>37.155963302752291</v>
      </c>
      <c r="G65">
        <v>6.0930295128481378</v>
      </c>
    </row>
    <row r="66" spans="1:7" x14ac:dyDescent="0.2">
      <c r="A66">
        <v>42</v>
      </c>
      <c r="B66">
        <v>6.1018492892229625</v>
      </c>
      <c r="C66">
        <v>-7.3610095688536603E-3</v>
      </c>
      <c r="D66">
        <v>-0.47052053341755162</v>
      </c>
      <c r="F66">
        <v>38.073394495412842</v>
      </c>
      <c r="G66">
        <v>6.0944882796541089</v>
      </c>
    </row>
    <row r="67" spans="1:7" x14ac:dyDescent="0.2">
      <c r="A67">
        <v>43</v>
      </c>
      <c r="B67">
        <v>6.1015565404802281</v>
      </c>
      <c r="C67">
        <v>-5.6441058985257087E-3</v>
      </c>
      <c r="D67">
        <v>-0.36077493082963569</v>
      </c>
      <c r="F67">
        <v>38.990825688073393</v>
      </c>
      <c r="G67">
        <v>6.0959124345817024</v>
      </c>
    </row>
    <row r="68" spans="1:7" x14ac:dyDescent="0.2">
      <c r="A68">
        <v>44</v>
      </c>
      <c r="B68">
        <v>6.1011855561553716</v>
      </c>
      <c r="C68">
        <v>-3.9005780962222403E-3</v>
      </c>
      <c r="D68">
        <v>-0.2493274963582367</v>
      </c>
      <c r="F68">
        <v>39.908256880733944</v>
      </c>
      <c r="G68">
        <v>6.0972849780591494</v>
      </c>
    </row>
    <row r="69" spans="1:7" x14ac:dyDescent="0.2">
      <c r="A69">
        <v>45</v>
      </c>
      <c r="B69">
        <v>6.1007542149499852</v>
      </c>
      <c r="C69">
        <v>-2.1647926499577252E-3</v>
      </c>
      <c r="D69">
        <v>-0.13837495833538613</v>
      </c>
      <c r="F69">
        <v>40.825688073394495</v>
      </c>
      <c r="G69">
        <v>6.0985894223000274</v>
      </c>
    </row>
    <row r="70" spans="1:7" x14ac:dyDescent="0.2">
      <c r="A70">
        <v>46</v>
      </c>
      <c r="B70">
        <v>6.100267938514671</v>
      </c>
      <c r="C70">
        <v>-4.5951330806115465E-4</v>
      </c>
      <c r="D70">
        <v>-2.9372390403653411E-2</v>
      </c>
      <c r="F70">
        <v>41.743119266055047</v>
      </c>
      <c r="G70">
        <v>6.0998084252066098</v>
      </c>
    </row>
    <row r="71" spans="1:7" x14ac:dyDescent="0.2">
      <c r="A71">
        <v>47</v>
      </c>
      <c r="B71">
        <v>6.0997269704635926</v>
      </c>
      <c r="C71">
        <v>1.1973713309005873E-3</v>
      </c>
      <c r="D71">
        <v>7.6536756547371965E-2</v>
      </c>
      <c r="F71">
        <v>42.660550458715598</v>
      </c>
      <c r="G71">
        <v>6.1009243417944932</v>
      </c>
    </row>
    <row r="72" spans="1:7" x14ac:dyDescent="0.2">
      <c r="A72">
        <v>48</v>
      </c>
      <c r="B72">
        <v>6.0991256467091244</v>
      </c>
      <c r="C72">
        <v>2.7949110778182629E-3</v>
      </c>
      <c r="D72">
        <v>0.17865253928673666</v>
      </c>
      <c r="F72">
        <v>43.577981651376149</v>
      </c>
      <c r="G72">
        <v>6.1019205577869426</v>
      </c>
    </row>
    <row r="73" spans="1:7" x14ac:dyDescent="0.2">
      <c r="A73">
        <v>49</v>
      </c>
      <c r="B73">
        <v>6.0984678440932214</v>
      </c>
      <c r="C73">
        <v>4.315693596351089E-3</v>
      </c>
      <c r="D73">
        <v>0.27586194991702173</v>
      </c>
      <c r="F73">
        <v>44.4954128440367</v>
      </c>
      <c r="G73">
        <v>6.1021434581583813</v>
      </c>
    </row>
    <row r="74" spans="1:7" x14ac:dyDescent="0.2">
      <c r="A74">
        <v>50</v>
      </c>
      <c r="B74">
        <v>6.09777238713251</v>
      </c>
      <c r="C74">
        <v>5.7303188790012172E-3</v>
      </c>
      <c r="D74">
        <v>0.3662857207805813</v>
      </c>
      <c r="F74">
        <v>45.412844036697244</v>
      </c>
      <c r="G74">
        <v>6.1021944931859888</v>
      </c>
    </row>
    <row r="75" spans="1:7" x14ac:dyDescent="0.2">
      <c r="A75">
        <v>51</v>
      </c>
      <c r="B75">
        <v>6.0970623452437067</v>
      </c>
      <c r="C75">
        <v>7.0079664690627652E-3</v>
      </c>
      <c r="D75">
        <v>0.44795378817979653</v>
      </c>
      <c r="F75">
        <v>46.330275229357795</v>
      </c>
      <c r="G75">
        <v>6.1022293848956206</v>
      </c>
    </row>
    <row r="76" spans="1:7" x14ac:dyDescent="0.2">
      <c r="A76">
        <v>52</v>
      </c>
      <c r="B76">
        <v>6.0963658518705151</v>
      </c>
      <c r="C76">
        <v>8.1155296945718547E-3</v>
      </c>
      <c r="D76">
        <v>0.51874995204640006</v>
      </c>
      <c r="F76">
        <v>47.247706422018346</v>
      </c>
      <c r="G76">
        <v>6.1023766453198531</v>
      </c>
    </row>
    <row r="77" spans="1:7" x14ac:dyDescent="0.2">
      <c r="A77">
        <v>53</v>
      </c>
      <c r="B77">
        <v>6.0957065149649621</v>
      </c>
      <c r="C77">
        <v>9.0263135318746635E-3</v>
      </c>
      <c r="D77">
        <v>0.5769678490545872</v>
      </c>
      <c r="F77">
        <v>48.165137614678898</v>
      </c>
      <c r="G77">
        <v>6.1024507767261253</v>
      </c>
    </row>
    <row r="78" spans="1:7" x14ac:dyDescent="0.2">
      <c r="A78">
        <v>54</v>
      </c>
      <c r="B78">
        <v>6.0951044600065538</v>
      </c>
      <c r="C78">
        <v>9.7224202670815885E-3</v>
      </c>
      <c r="D78">
        <v>0.62146344565739398</v>
      </c>
      <c r="F78">
        <v>49.082568807339449</v>
      </c>
      <c r="G78">
        <v>6.1026733481973343</v>
      </c>
    </row>
    <row r="79" spans="1:7" x14ac:dyDescent="0.2">
      <c r="A79">
        <v>55</v>
      </c>
      <c r="B79">
        <v>6.0945713511657118</v>
      </c>
      <c r="C79">
        <v>1.0201319223115846E-2</v>
      </c>
      <c r="D79">
        <v>0.65207497932524627</v>
      </c>
      <c r="F79">
        <v>50</v>
      </c>
      <c r="G79">
        <v>6.1027835376895725</v>
      </c>
    </row>
    <row r="80" spans="1:7" x14ac:dyDescent="0.2">
      <c r="A80">
        <v>56</v>
      </c>
      <c r="B80">
        <v>6.0941121365189828</v>
      </c>
      <c r="C80">
        <v>1.0474134608496222E-2</v>
      </c>
      <c r="D80">
        <v>0.66951351672327331</v>
      </c>
      <c r="F80">
        <v>50.917431192660551</v>
      </c>
      <c r="G80">
        <v>6.1028015238411681</v>
      </c>
    </row>
    <row r="81" spans="1:7" x14ac:dyDescent="0.2">
      <c r="A81">
        <v>57</v>
      </c>
      <c r="B81">
        <v>6.0937412470584471</v>
      </c>
      <c r="C81">
        <v>1.0548009190542551E-2</v>
      </c>
      <c r="D81">
        <v>0.67423562819797023</v>
      </c>
      <c r="F81">
        <v>51.834862385321102</v>
      </c>
      <c r="G81">
        <v>6.1030573174307081</v>
      </c>
    </row>
    <row r="82" spans="1:7" x14ac:dyDescent="0.2">
      <c r="A82">
        <v>58</v>
      </c>
      <c r="B82">
        <v>6.093475914794519</v>
      </c>
      <c r="C82">
        <v>1.0434125646309411E-2</v>
      </c>
      <c r="D82">
        <v>0.66695611776141428</v>
      </c>
      <c r="F82">
        <v>52.752293577981654</v>
      </c>
      <c r="G82">
        <v>6.1032740672958923</v>
      </c>
    </row>
    <row r="83" spans="1:7" x14ac:dyDescent="0.2">
      <c r="A83">
        <v>59</v>
      </c>
      <c r="B83">
        <v>6.0933392377125033</v>
      </c>
      <c r="C83">
        <v>1.0145813571840634E-2</v>
      </c>
      <c r="D83">
        <v>0.64852702188796663</v>
      </c>
      <c r="F83">
        <v>53.669724770642205</v>
      </c>
      <c r="G83">
        <v>6.1034850512843439</v>
      </c>
    </row>
    <row r="84" spans="1:7" x14ac:dyDescent="0.2">
      <c r="A84">
        <v>60</v>
      </c>
      <c r="B84">
        <v>6.0933732747880613</v>
      </c>
      <c r="C84">
        <v>9.6840426426467729E-3</v>
      </c>
      <c r="D84">
        <v>0.61901032286880608</v>
      </c>
      <c r="F84">
        <v>54.587155963302749</v>
      </c>
      <c r="G84">
        <v>6.1035027060115112</v>
      </c>
    </row>
    <row r="85" spans="1:7" x14ac:dyDescent="0.2">
      <c r="A85">
        <v>61</v>
      </c>
      <c r="B85">
        <v>6.093597113579043</v>
      </c>
      <c r="C85">
        <v>9.0762346182913234E-3</v>
      </c>
      <c r="D85">
        <v>0.58015883746315255</v>
      </c>
      <c r="F85">
        <v>55.5045871559633</v>
      </c>
      <c r="G85">
        <v>6.1038640207120771</v>
      </c>
    </row>
    <row r="86" spans="1:7" x14ac:dyDescent="0.2">
      <c r="A86">
        <v>62</v>
      </c>
      <c r="B86">
        <v>6.0940070092268783</v>
      </c>
      <c r="C86">
        <v>8.3696360929748082E-3</v>
      </c>
      <c r="D86">
        <v>0.53499259879247552</v>
      </c>
      <c r="F86">
        <v>56.422018348623851</v>
      </c>
      <c r="G86">
        <v>6.1039100404408284</v>
      </c>
    </row>
    <row r="87" spans="1:7" x14ac:dyDescent="0.2">
      <c r="A87">
        <v>63</v>
      </c>
      <c r="B87">
        <v>6.0945914439964399</v>
      </c>
      <c r="C87">
        <v>7.603049189548905E-3</v>
      </c>
      <c r="D87">
        <v>0.48599186386107984</v>
      </c>
      <c r="F87">
        <v>57.339449541284402</v>
      </c>
      <c r="G87">
        <v>6.1040703117127695</v>
      </c>
    </row>
    <row r="88" spans="1:7" x14ac:dyDescent="0.2">
      <c r="A88">
        <v>64</v>
      </c>
      <c r="B88">
        <v>6.0953348849954363</v>
      </c>
      <c r="C88">
        <v>6.8085731629450308E-3</v>
      </c>
      <c r="D88">
        <v>0.43520843798335385</v>
      </c>
      <c r="F88">
        <v>58.256880733944953</v>
      </c>
      <c r="G88">
        <v>6.1042892562489897</v>
      </c>
    </row>
    <row r="89" spans="1:7" x14ac:dyDescent="0.2">
      <c r="A89">
        <v>65</v>
      </c>
      <c r="B89">
        <v>6.0962142550569123</v>
      </c>
      <c r="C89">
        <v>6.015129838708333E-3</v>
      </c>
      <c r="D89">
        <v>0.3844910231145961</v>
      </c>
      <c r="F89">
        <v>59.174311926605505</v>
      </c>
      <c r="G89">
        <v>6.1044813815650869</v>
      </c>
    </row>
    <row r="90" spans="1:7" x14ac:dyDescent="0.2">
      <c r="A90">
        <v>66</v>
      </c>
      <c r="B90">
        <v>6.0972168330241718</v>
      </c>
      <c r="C90">
        <v>5.233943701953514E-3</v>
      </c>
      <c r="D90">
        <v>0.33455709566535968</v>
      </c>
      <c r="F90">
        <v>60.091743119266056</v>
      </c>
      <c r="G90">
        <v>6.1045676887339217</v>
      </c>
    </row>
    <row r="91" spans="1:7" x14ac:dyDescent="0.2">
      <c r="A91">
        <v>67</v>
      </c>
      <c r="B91">
        <v>6.0983284791910837</v>
      </c>
      <c r="C91">
        <v>4.4730446500844678E-3</v>
      </c>
      <c r="D91">
        <v>0.28591993191581067</v>
      </c>
      <c r="F91">
        <v>61.009174311926607</v>
      </c>
      <c r="G91">
        <v>6.104586271127479</v>
      </c>
    </row>
    <row r="92" spans="1:7" x14ac:dyDescent="0.2">
      <c r="A92">
        <v>68</v>
      </c>
      <c r="B92">
        <v>6.0995276425849827</v>
      </c>
      <c r="C92">
        <v>3.7464247109095794E-3</v>
      </c>
      <c r="D92">
        <v>0.23947391141082164</v>
      </c>
      <c r="F92">
        <v>61.926605504587158</v>
      </c>
      <c r="G92">
        <v>6.1047328284968367</v>
      </c>
    </row>
    <row r="93" spans="1:7" x14ac:dyDescent="0.2">
      <c r="A93">
        <v>69</v>
      </c>
      <c r="B93">
        <v>6.1008007546395842</v>
      </c>
      <c r="C93">
        <v>3.063266072492965E-3</v>
      </c>
      <c r="D93">
        <v>0.19580596560122912</v>
      </c>
      <c r="F93">
        <v>62.844036697247709</v>
      </c>
      <c r="G93">
        <v>6.1047726703888276</v>
      </c>
    </row>
    <row r="94" spans="1:7" x14ac:dyDescent="0.2">
      <c r="A94">
        <v>70</v>
      </c>
      <c r="B94">
        <v>6.1021299141211882</v>
      </c>
      <c r="C94">
        <v>2.4377746127335342E-3</v>
      </c>
      <c r="D94">
        <v>0.15582414346919199</v>
      </c>
      <c r="F94">
        <v>63.761467889908261</v>
      </c>
      <c r="G94">
        <v>6.1048268802736354</v>
      </c>
    </row>
    <row r="95" spans="1:7" x14ac:dyDescent="0.2">
      <c r="A95">
        <v>71</v>
      </c>
      <c r="B95">
        <v>6.1034991916260859</v>
      </c>
      <c r="C95">
        <v>1.8795663742867674E-3</v>
      </c>
      <c r="D95">
        <v>0.12014310873404123</v>
      </c>
      <c r="F95">
        <v>64.678899082568819</v>
      </c>
      <c r="G95">
        <v>6.1053787580003727</v>
      </c>
    </row>
    <row r="96" spans="1:7" x14ac:dyDescent="0.2">
      <c r="A96">
        <v>72</v>
      </c>
      <c r="B96">
        <v>6.1048966731991099</v>
      </c>
      <c r="C96">
        <v>1.3888785063995712E-3</v>
      </c>
      <c r="D96">
        <v>8.8778020130337684E-2</v>
      </c>
      <c r="F96">
        <v>65.596330275229363</v>
      </c>
      <c r="G96">
        <v>6.1062855517055095</v>
      </c>
    </row>
    <row r="97" spans="1:7" x14ac:dyDescent="0.2">
      <c r="A97">
        <v>73</v>
      </c>
      <c r="B97">
        <v>6.1063037445434079</v>
      </c>
      <c r="C97">
        <v>9.7325770496770048E-4</v>
      </c>
      <c r="D97">
        <v>6.2211267382642425E-2</v>
      </c>
      <c r="F97">
        <v>66.513761467889921</v>
      </c>
      <c r="G97">
        <v>6.1072770022483756</v>
      </c>
    </row>
    <row r="98" spans="1:7" x14ac:dyDescent="0.2">
      <c r="A98">
        <v>74</v>
      </c>
      <c r="B98">
        <v>6.1077145739027383</v>
      </c>
      <c r="C98">
        <v>6.2720103775681935E-4</v>
      </c>
      <c r="D98">
        <v>4.0091099472832036E-2</v>
      </c>
      <c r="F98">
        <v>67.431192660550465</v>
      </c>
      <c r="G98">
        <v>6.1083417749404951</v>
      </c>
    </row>
    <row r="99" spans="1:7" x14ac:dyDescent="0.2">
      <c r="A99">
        <v>75</v>
      </c>
      <c r="B99">
        <v>6.109115074063066</v>
      </c>
      <c r="C99">
        <v>3.5630518657292498E-4</v>
      </c>
      <c r="D99">
        <v>2.2775259952805778E-2</v>
      </c>
      <c r="F99">
        <v>68.348623853211024</v>
      </c>
      <c r="G99">
        <v>6.1094713792496389</v>
      </c>
    </row>
    <row r="100" spans="1:7" x14ac:dyDescent="0.2">
      <c r="A100">
        <v>76</v>
      </c>
      <c r="B100">
        <v>6.1104742590457217</v>
      </c>
      <c r="C100">
        <v>1.827231431663634E-4</v>
      </c>
      <c r="D100">
        <v>1.1679782506213744E-2</v>
      </c>
      <c r="F100">
        <v>69.266055045871568</v>
      </c>
      <c r="G100">
        <v>6.1106569821888881</v>
      </c>
    </row>
    <row r="101" spans="1:7" x14ac:dyDescent="0.2">
      <c r="A101">
        <v>77</v>
      </c>
      <c r="B101">
        <v>6.1117572207203361</v>
      </c>
      <c r="C101">
        <v>1.3042636915283623E-4</v>
      </c>
      <c r="D101">
        <v>8.336938596734355E-3</v>
      </c>
      <c r="F101">
        <v>70.183486238532112</v>
      </c>
      <c r="G101">
        <v>6.111887647089489</v>
      </c>
    </row>
    <row r="102" spans="1:7" x14ac:dyDescent="0.2">
      <c r="A102">
        <v>78</v>
      </c>
      <c r="B102">
        <v>6.112927558443654</v>
      </c>
      <c r="C102">
        <v>2.2193178458618235E-4</v>
      </c>
      <c r="D102">
        <v>1.4186024442576791E-2</v>
      </c>
      <c r="F102">
        <v>71.10091743119267</v>
      </c>
      <c r="G102">
        <v>6.1131494902282402</v>
      </c>
    </row>
    <row r="103" spans="1:7" x14ac:dyDescent="0.2">
      <c r="A103">
        <v>79</v>
      </c>
      <c r="B103">
        <v>6.1139469070830703</v>
      </c>
      <c r="C103">
        <v>4.8161914423072716E-4</v>
      </c>
      <c r="D103">
        <v>3.0785409871819661E-2</v>
      </c>
      <c r="F103">
        <v>72.018348623853214</v>
      </c>
      <c r="G103">
        <v>6.114428526227301</v>
      </c>
    </row>
    <row r="104" spans="1:7" x14ac:dyDescent="0.2">
      <c r="A104">
        <v>80</v>
      </c>
      <c r="B104">
        <v>6.1147913003519356</v>
      </c>
      <c r="C104">
        <v>9.2105285731580722E-4</v>
      </c>
      <c r="D104">
        <v>5.8874299466164612E-2</v>
      </c>
      <c r="F104">
        <v>72.935779816513772</v>
      </c>
      <c r="G104">
        <v>6.1157123532092514</v>
      </c>
    </row>
    <row r="105" spans="1:7" x14ac:dyDescent="0.2">
      <c r="A105">
        <v>81</v>
      </c>
      <c r="B105">
        <v>6.1154451717771448</v>
      </c>
      <c r="C105">
        <v>1.5467802266790898E-3</v>
      </c>
      <c r="D105">
        <v>9.8871201093969865E-2</v>
      </c>
      <c r="F105">
        <v>73.853211009174316</v>
      </c>
      <c r="G105">
        <v>6.1169919520038238</v>
      </c>
    </row>
    <row r="106" spans="1:7" x14ac:dyDescent="0.2">
      <c r="A106">
        <v>82</v>
      </c>
      <c r="B106">
        <v>6.1158921980668506</v>
      </c>
      <c r="C106">
        <v>2.3684279301789957E-3</v>
      </c>
      <c r="D106">
        <v>0.15139145828367598</v>
      </c>
      <c r="F106">
        <v>74.770642201834875</v>
      </c>
      <c r="G106">
        <v>6.1182606259970296</v>
      </c>
    </row>
    <row r="107" spans="1:7" x14ac:dyDescent="0.2">
      <c r="A107">
        <v>83</v>
      </c>
      <c r="B107">
        <v>6.1161753101800294</v>
      </c>
      <c r="C107">
        <v>3.3399474089454984E-3</v>
      </c>
      <c r="D107">
        <v>0.21349161711364806</v>
      </c>
      <c r="F107">
        <v>75.688073394495419</v>
      </c>
      <c r="G107">
        <v>6.1195152575889749</v>
      </c>
    </row>
    <row r="108" spans="1:7" x14ac:dyDescent="0.2">
      <c r="A108">
        <v>84</v>
      </c>
      <c r="B108">
        <v>6.1163422582267684</v>
      </c>
      <c r="C108">
        <v>4.4083854385865706E-3</v>
      </c>
      <c r="D108">
        <v>0.28178687293799343</v>
      </c>
      <c r="F108">
        <v>76.605504587155977</v>
      </c>
      <c r="G108">
        <v>6.1207506436653549</v>
      </c>
    </row>
    <row r="109" spans="1:7" x14ac:dyDescent="0.2">
      <c r="A109">
        <v>85</v>
      </c>
      <c r="B109">
        <v>6.1164250123079755</v>
      </c>
      <c r="C109">
        <v>5.5339576281605574E-3</v>
      </c>
      <c r="D109">
        <v>0.35373418153533709</v>
      </c>
      <c r="F109">
        <v>77.522935779816521</v>
      </c>
      <c r="G109">
        <v>6.1219589699361361</v>
      </c>
    </row>
    <row r="110" spans="1:7" x14ac:dyDescent="0.2">
      <c r="A110">
        <v>86</v>
      </c>
      <c r="B110">
        <v>6.1164484689264427</v>
      </c>
      <c r="C110">
        <v>6.6818611244521264E-3</v>
      </c>
      <c r="D110">
        <v>0.42710892182535604</v>
      </c>
      <c r="F110">
        <v>78.440366972477079</v>
      </c>
      <c r="G110">
        <v>6.1231303300508948</v>
      </c>
    </row>
    <row r="111" spans="1:7" x14ac:dyDescent="0.2">
      <c r="A111">
        <v>87</v>
      </c>
      <c r="B111">
        <v>6.1164411078598624</v>
      </c>
      <c r="C111">
        <v>7.8149078478331191E-3</v>
      </c>
      <c r="D111">
        <v>0.49953400749947469</v>
      </c>
      <c r="F111">
        <v>79.357798165137623</v>
      </c>
      <c r="G111">
        <v>6.1242560157076955</v>
      </c>
    </row>
    <row r="112" spans="1:7" x14ac:dyDescent="0.2">
      <c r="A112">
        <v>88</v>
      </c>
      <c r="B112">
        <v>6.1164232369647191</v>
      </c>
      <c r="C112">
        <v>8.9049953964215334E-3</v>
      </c>
      <c r="D112">
        <v>0.56921311469747382</v>
      </c>
      <c r="F112">
        <v>80.275229357798167</v>
      </c>
      <c r="G112">
        <v>6.1253282323611407</v>
      </c>
    </row>
    <row r="113" spans="1:7" x14ac:dyDescent="0.2">
      <c r="A113">
        <v>89</v>
      </c>
      <c r="B113">
        <v>6.1163997428131189</v>
      </c>
      <c r="C113">
        <v>9.9399639126183104E-3</v>
      </c>
      <c r="D113">
        <v>0.63536897738943288</v>
      </c>
      <c r="F113">
        <v>81.192660550458726</v>
      </c>
      <c r="G113">
        <v>6.1263397067257372</v>
      </c>
    </row>
    <row r="114" spans="1:7" x14ac:dyDescent="0.2">
      <c r="A114">
        <v>90</v>
      </c>
      <c r="B114">
        <v>6.1163642655630328</v>
      </c>
      <c r="C114">
        <v>1.0918284019237667E-2</v>
      </c>
      <c r="D114">
        <v>0.6979038367879844</v>
      </c>
      <c r="F114">
        <v>82.11009174311927</v>
      </c>
      <c r="G114">
        <v>6.1272825495822705</v>
      </c>
    </row>
    <row r="115" spans="1:7" x14ac:dyDescent="0.2">
      <c r="A115">
        <v>91</v>
      </c>
      <c r="B115">
        <v>6.1163067011911796</v>
      </c>
      <c r="C115">
        <v>1.1842914364928347E-2</v>
      </c>
      <c r="D115">
        <v>0.7570068116447588</v>
      </c>
      <c r="F115">
        <v>83.027522935779828</v>
      </c>
      <c r="G115">
        <v>6.1281496155561079</v>
      </c>
    </row>
    <row r="116" spans="1:7" x14ac:dyDescent="0.2">
      <c r="A116">
        <v>92</v>
      </c>
      <c r="B116">
        <v>6.1162082514424654</v>
      </c>
      <c r="C116">
        <v>1.2725223840421407E-2</v>
      </c>
      <c r="D116">
        <v>0.81340460887150601</v>
      </c>
      <c r="F116">
        <v>83.944954128440372</v>
      </c>
      <c r="G116">
        <v>6.1289334752828868</v>
      </c>
    </row>
    <row r="117" spans="1:7" x14ac:dyDescent="0.2">
      <c r="A117">
        <v>93</v>
      </c>
      <c r="B117">
        <v>6.1160588196837118</v>
      </c>
      <c r="C117">
        <v>1.3567656262196692E-2</v>
      </c>
      <c r="D117">
        <v>0.8672534388117823</v>
      </c>
      <c r="F117">
        <v>84.86238532110093</v>
      </c>
      <c r="G117">
        <v>6.1296264759459085</v>
      </c>
    </row>
    <row r="118" spans="1:7" x14ac:dyDescent="0.2">
      <c r="A118">
        <v>94</v>
      </c>
      <c r="B118">
        <v>6.1158418403703863</v>
      </c>
      <c r="C118">
        <v>1.4378775702730273E-2</v>
      </c>
      <c r="D118">
        <v>0.91910072256482345</v>
      </c>
      <c r="F118">
        <v>85.779816513761475</v>
      </c>
      <c r="G118">
        <v>6.1302206160731165</v>
      </c>
    </row>
    <row r="119" spans="1:7" x14ac:dyDescent="0.2">
      <c r="A119">
        <v>95</v>
      </c>
      <c r="B119">
        <v>6.1155428739586482</v>
      </c>
      <c r="C119">
        <v>1.5166316985867567E-2</v>
      </c>
      <c r="D119">
        <v>0.9694408751164536</v>
      </c>
      <c r="F119">
        <v>86.697247706422033</v>
      </c>
      <c r="G119">
        <v>6.1306475028717546</v>
      </c>
    </row>
    <row r="120" spans="1:7" x14ac:dyDescent="0.2">
      <c r="A120">
        <v>96</v>
      </c>
      <c r="B120">
        <v>6.1151456233559802</v>
      </c>
      <c r="C120">
        <v>1.5941866334882704E-2</v>
      </c>
      <c r="D120">
        <v>1.0190144954163474</v>
      </c>
      <c r="F120">
        <v>87.614678899082577</v>
      </c>
      <c r="G120">
        <v>6.1306575366502303</v>
      </c>
    </row>
    <row r="121" spans="1:7" x14ac:dyDescent="0.2">
      <c r="A121">
        <v>97</v>
      </c>
      <c r="B121">
        <v>6.1146418573892793</v>
      </c>
      <c r="C121">
        <v>1.6712994642502643E-2</v>
      </c>
      <c r="D121">
        <v>1.068305519866301</v>
      </c>
      <c r="F121">
        <v>88.532110091743135</v>
      </c>
      <c r="G121">
        <v>6.1307091909445157</v>
      </c>
    </row>
    <row r="122" spans="1:7" x14ac:dyDescent="0.2">
      <c r="A122">
        <v>98</v>
      </c>
      <c r="B122">
        <v>6.1140378312330252</v>
      </c>
      <c r="C122">
        <v>1.7476768073294124E-2</v>
      </c>
      <c r="D122">
        <v>1.1171264157916037</v>
      </c>
      <c r="F122">
        <v>89.449541284403679</v>
      </c>
      <c r="G122">
        <v>6.1307348402241271</v>
      </c>
    </row>
    <row r="123" spans="1:7" x14ac:dyDescent="0.2">
      <c r="A123">
        <v>99</v>
      </c>
      <c r="B123">
        <v>6.1133247272361162</v>
      </c>
      <c r="C123">
        <v>1.8249333551642266E-2</v>
      </c>
      <c r="D123">
        <v>1.1665093051320075</v>
      </c>
      <c r="F123">
        <v>90.366972477064223</v>
      </c>
      <c r="G123">
        <v>6.1307572468497638</v>
      </c>
    </row>
    <row r="124" spans="1:7" x14ac:dyDescent="0.2">
      <c r="A124">
        <v>100</v>
      </c>
      <c r="B124">
        <v>6.1125067214500417</v>
      </c>
      <c r="C124">
        <v>1.9038794714039575E-2</v>
      </c>
      <c r="D124">
        <v>1.2169721776183244</v>
      </c>
      <c r="F124">
        <v>91.284403669724782</v>
      </c>
      <c r="G124">
        <v>6.1309167844820056</v>
      </c>
    </row>
    <row r="125" spans="1:7" x14ac:dyDescent="0.2">
      <c r="A125">
        <v>101</v>
      </c>
      <c r="B125">
        <v>6.1115898927815033</v>
      </c>
      <c r="C125">
        <v>1.9854906873207234E-2</v>
      </c>
      <c r="D125">
        <v>1.269138599203335</v>
      </c>
      <c r="F125">
        <v>92.201834862385326</v>
      </c>
      <c r="G125">
        <v>6.1309193743150097</v>
      </c>
    </row>
    <row r="126" spans="1:7" x14ac:dyDescent="0.2">
      <c r="A126">
        <v>102</v>
      </c>
      <c r="B126">
        <v>6.1105777822253646</v>
      </c>
      <c r="C126">
        <v>2.0712896946249337E-2</v>
      </c>
      <c r="D126">
        <v>1.3239818843612434</v>
      </c>
      <c r="F126">
        <v>93.119266055045884</v>
      </c>
      <c r="G126">
        <v>6.1310874896908629</v>
      </c>
    </row>
    <row r="127" spans="1:7" x14ac:dyDescent="0.2">
      <c r="A127">
        <v>103</v>
      </c>
      <c r="B127">
        <v>6.1094781685848485</v>
      </c>
      <c r="C127">
        <v>2.1627392026112524E-2</v>
      </c>
      <c r="D127">
        <v>1.3824370064148293</v>
      </c>
      <c r="F127">
        <v>94.036697247706428</v>
      </c>
      <c r="G127">
        <v>6.131105560610961</v>
      </c>
    </row>
    <row r="128" spans="1:7" x14ac:dyDescent="0.2">
      <c r="A128">
        <v>104</v>
      </c>
      <c r="B128">
        <v>6.1082997388276334</v>
      </c>
      <c r="C128">
        <v>2.261704565437217E-2</v>
      </c>
      <c r="D128">
        <v>1.4456963119097765</v>
      </c>
      <c r="F128">
        <v>94.954128440366986</v>
      </c>
      <c r="G128">
        <v>6.131290679171614</v>
      </c>
    </row>
    <row r="129" spans="1:7" x14ac:dyDescent="0.2">
      <c r="A129">
        <v>105</v>
      </c>
      <c r="B129">
        <v>6.10706240903757</v>
      </c>
      <c r="C129">
        <v>2.3694837812193725E-2</v>
      </c>
      <c r="D129">
        <v>1.5145894897093575</v>
      </c>
      <c r="F129">
        <v>95.87155963302753</v>
      </c>
      <c r="G129">
        <v>6.131354852031782</v>
      </c>
    </row>
    <row r="130" spans="1:7" x14ac:dyDescent="0.2">
      <c r="A130">
        <v>106</v>
      </c>
      <c r="B130">
        <v>6.1057872400928987</v>
      </c>
      <c r="C130">
        <v>2.4870296557331528E-2</v>
      </c>
      <c r="D130">
        <v>1.5897255794806273</v>
      </c>
      <c r="F130">
        <v>96.788990825688089</v>
      </c>
      <c r="G130">
        <v>6.1314447996547106</v>
      </c>
    </row>
    <row r="131" spans="1:7" x14ac:dyDescent="0.2">
      <c r="A131">
        <v>107</v>
      </c>
      <c r="B131">
        <v>6.1044872596985833</v>
      </c>
      <c r="C131">
        <v>2.6160243173171338E-2</v>
      </c>
      <c r="D131">
        <v>1.6721798086305608</v>
      </c>
      <c r="F131">
        <v>97.706422018348633</v>
      </c>
      <c r="G131">
        <v>6.1315145993063194</v>
      </c>
    </row>
    <row r="132" spans="1:7" x14ac:dyDescent="0.2">
      <c r="A132">
        <v>108</v>
      </c>
      <c r="B132">
        <v>6.1031740510577999</v>
      </c>
      <c r="C132">
        <v>2.7560789166327204E-2</v>
      </c>
      <c r="D132">
        <v>1.7617036221253635</v>
      </c>
      <c r="F132">
        <v>98.623853211009177</v>
      </c>
      <c r="G132">
        <v>6.1315455161640813</v>
      </c>
    </row>
    <row r="133" spans="1:7" ht="17" thickBot="1" x14ac:dyDescent="0.25">
      <c r="A133" s="8">
        <v>109</v>
      </c>
      <c r="B133" s="8">
        <v>6.1018472003565911</v>
      </c>
      <c r="C133" s="8">
        <v>2.9072173958418546E-2</v>
      </c>
      <c r="D133" s="8">
        <v>1.8583123239511294</v>
      </c>
      <c r="F133" s="8">
        <v>99.541284403669735</v>
      </c>
      <c r="G133" s="8">
        <v>6.1315740607877585</v>
      </c>
    </row>
  </sheetData>
  <sortState xmlns:xlrd2="http://schemas.microsoft.com/office/spreadsheetml/2017/richdata2" ref="G25:G133">
    <sortCondition ref="G25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9F98-D1CD-3D4D-A781-211E37DE517A}">
  <dimension ref="A1:I148"/>
  <sheetViews>
    <sheetView workbookViewId="0">
      <selection activeCell="I8" sqref="I8"/>
    </sheetView>
  </sheetViews>
  <sheetFormatPr baseColWidth="10" defaultRowHeight="16" x14ac:dyDescent="0.2"/>
  <sheetData>
    <row r="1" spans="1:9" x14ac:dyDescent="0.2">
      <c r="A1" t="s">
        <v>10</v>
      </c>
    </row>
    <row r="2" spans="1:9" ht="17" thickBot="1" x14ac:dyDescent="0.25"/>
    <row r="3" spans="1:9" x14ac:dyDescent="0.2">
      <c r="A3" s="10" t="s">
        <v>11</v>
      </c>
      <c r="B3" s="10"/>
    </row>
    <row r="4" spans="1:9" x14ac:dyDescent="0.2">
      <c r="A4" t="s">
        <v>12</v>
      </c>
      <c r="B4">
        <v>0.16671485001907974</v>
      </c>
    </row>
    <row r="5" spans="1:9" x14ac:dyDescent="0.2">
      <c r="A5" t="s">
        <v>13</v>
      </c>
      <c r="B5">
        <v>2.7793841216884246E-2</v>
      </c>
    </row>
    <row r="6" spans="1:9" x14ac:dyDescent="0.2">
      <c r="A6" t="s">
        <v>14</v>
      </c>
      <c r="B6">
        <v>1.9824938276039032E-2</v>
      </c>
    </row>
    <row r="7" spans="1:9" x14ac:dyDescent="0.2">
      <c r="A7" t="s">
        <v>15</v>
      </c>
      <c r="B7">
        <v>3.5951283554471719E-2</v>
      </c>
    </row>
    <row r="8" spans="1:9" ht="17" thickBot="1" x14ac:dyDescent="0.25">
      <c r="A8" s="8" t="s">
        <v>16</v>
      </c>
      <c r="B8" s="8">
        <v>124</v>
      </c>
    </row>
    <row r="10" spans="1:9" ht="17" thickBot="1" x14ac:dyDescent="0.25">
      <c r="A10" t="s">
        <v>17</v>
      </c>
    </row>
    <row r="11" spans="1:9" x14ac:dyDescent="0.2">
      <c r="A11" s="9"/>
      <c r="B11" s="9" t="s">
        <v>22</v>
      </c>
      <c r="C11" s="9" t="s">
        <v>23</v>
      </c>
      <c r="D11" s="9" t="s">
        <v>24</v>
      </c>
      <c r="E11" s="9" t="s">
        <v>25</v>
      </c>
      <c r="F11" s="9" t="s">
        <v>26</v>
      </c>
    </row>
    <row r="12" spans="1:9" x14ac:dyDescent="0.2">
      <c r="A12" t="s">
        <v>18</v>
      </c>
      <c r="B12">
        <v>1</v>
      </c>
      <c r="C12">
        <v>4.5079473563339467E-3</v>
      </c>
      <c r="D12">
        <v>4.5079473563339467E-3</v>
      </c>
      <c r="E12">
        <v>3.4877876444478733</v>
      </c>
      <c r="F12">
        <v>6.4222810703224345E-2</v>
      </c>
    </row>
    <row r="13" spans="1:9" x14ac:dyDescent="0.2">
      <c r="A13" t="s">
        <v>19</v>
      </c>
      <c r="B13">
        <v>122</v>
      </c>
      <c r="C13">
        <v>0.15768436428411148</v>
      </c>
      <c r="D13">
        <v>1.2924947892140285E-3</v>
      </c>
    </row>
    <row r="14" spans="1:9" ht="17" thickBot="1" x14ac:dyDescent="0.25">
      <c r="A14" s="8" t="s">
        <v>20</v>
      </c>
      <c r="B14" s="8">
        <v>123</v>
      </c>
      <c r="C14" s="8">
        <v>0.16219231164044542</v>
      </c>
      <c r="D14" s="8"/>
      <c r="E14" s="8"/>
      <c r="F14" s="8"/>
    </row>
    <row r="15" spans="1:9" ht="17" thickBot="1" x14ac:dyDescent="0.25"/>
    <row r="16" spans="1:9" x14ac:dyDescent="0.2">
      <c r="A16" s="9"/>
      <c r="B16" s="9" t="s">
        <v>27</v>
      </c>
      <c r="C16" s="9" t="s">
        <v>15</v>
      </c>
      <c r="D16" s="9" t="s">
        <v>28</v>
      </c>
      <c r="E16" s="9" t="s">
        <v>29</v>
      </c>
      <c r="F16" s="9" t="s">
        <v>30</v>
      </c>
      <c r="G16" s="9" t="s">
        <v>31</v>
      </c>
      <c r="H16" s="9" t="s">
        <v>32</v>
      </c>
      <c r="I16" s="9" t="s">
        <v>33</v>
      </c>
    </row>
    <row r="17" spans="1:9" x14ac:dyDescent="0.2">
      <c r="A17" t="s">
        <v>21</v>
      </c>
      <c r="B17">
        <v>0.64837074562644637</v>
      </c>
      <c r="C17">
        <v>3.9491812159120558E-2</v>
      </c>
      <c r="D17">
        <v>16.417852465570039</v>
      </c>
      <c r="E17">
        <v>1.1106608091505533E-32</v>
      </c>
      <c r="F17">
        <v>0.57019275907503408</v>
      </c>
      <c r="G17">
        <v>0.72654873217785865</v>
      </c>
      <c r="H17">
        <v>0.57019275907503408</v>
      </c>
      <c r="I17">
        <v>0.72654873217785865</v>
      </c>
    </row>
    <row r="18" spans="1:9" ht="17" thickBot="1" x14ac:dyDescent="0.25">
      <c r="A18" s="8" t="s">
        <v>49</v>
      </c>
      <c r="B18" s="8">
        <v>0.35594698155427978</v>
      </c>
      <c r="C18" s="8">
        <v>0.19059447060308266</v>
      </c>
      <c r="D18" s="8">
        <v>1.867561951970514</v>
      </c>
      <c r="E18" s="8">
        <v>6.422281070322218E-2</v>
      </c>
      <c r="F18" s="8">
        <v>-2.1353809291808135E-2</v>
      </c>
      <c r="G18" s="8">
        <v>0.73324777240036765</v>
      </c>
      <c r="H18" s="8">
        <v>-2.1353809291808135E-2</v>
      </c>
      <c r="I18" s="8">
        <v>0.73324777240036765</v>
      </c>
    </row>
    <row r="22" spans="1:9" x14ac:dyDescent="0.2">
      <c r="A22" t="s">
        <v>34</v>
      </c>
      <c r="F22" t="s">
        <v>38</v>
      </c>
    </row>
    <row r="23" spans="1:9" ht="17" thickBot="1" x14ac:dyDescent="0.25"/>
    <row r="24" spans="1:9" x14ac:dyDescent="0.2">
      <c r="A24" s="9" t="s">
        <v>35</v>
      </c>
      <c r="B24" s="9" t="s">
        <v>51</v>
      </c>
      <c r="C24" s="9" t="s">
        <v>36</v>
      </c>
      <c r="D24" s="9" t="s">
        <v>37</v>
      </c>
      <c r="F24" s="9" t="s">
        <v>39</v>
      </c>
      <c r="G24" s="9" t="s">
        <v>50</v>
      </c>
    </row>
    <row r="25" spans="1:9" x14ac:dyDescent="0.2">
      <c r="A25">
        <v>1</v>
      </c>
      <c r="B25">
        <v>0.71046876080931098</v>
      </c>
      <c r="C25">
        <v>-1.7003160809310969E-2</v>
      </c>
      <c r="D25">
        <v>-0.4748843988748046</v>
      </c>
      <c r="F25">
        <v>0.40322580645161288</v>
      </c>
      <c r="G25">
        <v>0.68166139999999997</v>
      </c>
    </row>
    <row r="26" spans="1:9" x14ac:dyDescent="0.2">
      <c r="A26">
        <v>2</v>
      </c>
      <c r="B26">
        <v>0.71039909468600615</v>
      </c>
      <c r="C26">
        <v>-1.5275794686006039E-2</v>
      </c>
      <c r="D26">
        <v>-0.42664047338930511</v>
      </c>
      <c r="F26">
        <v>1.2096774193548385</v>
      </c>
      <c r="G26">
        <v>0.6828225</v>
      </c>
    </row>
    <row r="27" spans="1:9" x14ac:dyDescent="0.2">
      <c r="A27">
        <v>3</v>
      </c>
      <c r="B27">
        <v>0.7103682120062601</v>
      </c>
      <c r="C27">
        <v>-1.7691312006260063E-2</v>
      </c>
      <c r="D27">
        <v>-0.49410389995246279</v>
      </c>
      <c r="F27">
        <v>2.0161290322580645</v>
      </c>
      <c r="G27">
        <v>0.68329049999999991</v>
      </c>
    </row>
    <row r="28" spans="1:9" x14ac:dyDescent="0.2">
      <c r="A28">
        <v>4</v>
      </c>
      <c r="B28">
        <v>0.71057346633865315</v>
      </c>
      <c r="C28">
        <v>-1.8074066338653161E-2</v>
      </c>
      <c r="D28">
        <v>-0.50479391594970546</v>
      </c>
      <c r="F28">
        <v>2.82258064516129</v>
      </c>
      <c r="G28">
        <v>0.68334339999999993</v>
      </c>
    </row>
    <row r="29" spans="1:9" x14ac:dyDescent="0.2">
      <c r="A29">
        <v>5</v>
      </c>
      <c r="B29">
        <v>0.7108018133903462</v>
      </c>
      <c r="C29">
        <v>-1.8156513390346296E-2</v>
      </c>
      <c r="D29">
        <v>-0.50709659478815139</v>
      </c>
      <c r="F29">
        <v>3.629032258064516</v>
      </c>
      <c r="G29">
        <v>0.68385609999999997</v>
      </c>
    </row>
    <row r="30" spans="1:9" x14ac:dyDescent="0.2">
      <c r="A30">
        <v>6</v>
      </c>
      <c r="B30">
        <v>0.71101926685019601</v>
      </c>
      <c r="C30">
        <v>-1.8763066850195909E-2</v>
      </c>
      <c r="D30">
        <v>-0.52403713769052651</v>
      </c>
      <c r="F30">
        <v>4.435483870967742</v>
      </c>
      <c r="G30">
        <v>0.68420809999999999</v>
      </c>
    </row>
    <row r="31" spans="1:9" x14ac:dyDescent="0.2">
      <c r="A31">
        <v>7</v>
      </c>
      <c r="B31">
        <v>0.71120955267596175</v>
      </c>
      <c r="C31">
        <v>-1.8208352675961659E-2</v>
      </c>
      <c r="D31">
        <v>-0.5085444237102934</v>
      </c>
      <c r="F31">
        <v>5.2419354838709671</v>
      </c>
      <c r="G31">
        <v>0.68473290000000009</v>
      </c>
    </row>
    <row r="32" spans="1:9" x14ac:dyDescent="0.2">
      <c r="A32">
        <v>8</v>
      </c>
      <c r="B32">
        <v>0.7113690009909478</v>
      </c>
      <c r="C32">
        <v>-1.9193500990947743E-2</v>
      </c>
      <c r="D32">
        <v>-0.53605881180621184</v>
      </c>
      <c r="F32">
        <v>6.0483870967741931</v>
      </c>
      <c r="G32">
        <v>0.6848403999999999</v>
      </c>
    </row>
    <row r="33" spans="1:7" x14ac:dyDescent="0.2">
      <c r="A33">
        <v>9</v>
      </c>
      <c r="B33">
        <v>0.71162015722992367</v>
      </c>
      <c r="C33">
        <v>-1.8460657229923627E-2</v>
      </c>
      <c r="D33">
        <v>-0.51559108390396713</v>
      </c>
      <c r="F33">
        <v>6.854838709677419</v>
      </c>
      <c r="G33">
        <v>0.68642709999999996</v>
      </c>
    </row>
    <row r="34" spans="1:7" x14ac:dyDescent="0.2">
      <c r="A34">
        <v>10</v>
      </c>
      <c r="B34">
        <v>0.71195430182447006</v>
      </c>
      <c r="C34">
        <v>-1.7071201824470084E-2</v>
      </c>
      <c r="D34">
        <v>-0.47678472887491691</v>
      </c>
      <c r="F34">
        <v>7.661290322580645</v>
      </c>
      <c r="G34">
        <v>0.68665809999999994</v>
      </c>
    </row>
    <row r="35" spans="1:7" x14ac:dyDescent="0.2">
      <c r="A35">
        <v>11</v>
      </c>
      <c r="B35">
        <v>0.71235397867008099</v>
      </c>
      <c r="C35">
        <v>-1.4713478670080993E-2</v>
      </c>
      <c r="D35">
        <v>-0.4109354461773051</v>
      </c>
      <c r="F35">
        <v>8.4677419354838701</v>
      </c>
      <c r="G35">
        <v>0.68699610000000011</v>
      </c>
    </row>
    <row r="36" spans="1:7" x14ac:dyDescent="0.2">
      <c r="A36">
        <v>12</v>
      </c>
      <c r="B36">
        <v>0.71282664118453498</v>
      </c>
      <c r="C36">
        <v>-1.587164118453499E-2</v>
      </c>
      <c r="D36">
        <v>-0.44328197960388083</v>
      </c>
      <c r="F36">
        <v>9.2741935483870961</v>
      </c>
      <c r="G36">
        <v>0.68703599999999998</v>
      </c>
    </row>
    <row r="37" spans="1:7" x14ac:dyDescent="0.2">
      <c r="A37">
        <v>13</v>
      </c>
      <c r="B37">
        <v>0.71337249666716684</v>
      </c>
      <c r="C37">
        <v>-1.3010296667166799E-2</v>
      </c>
      <c r="D37">
        <v>-0.36336696342876912</v>
      </c>
      <c r="F37">
        <v>10.08064516129032</v>
      </c>
      <c r="G37">
        <v>0.68758979999999992</v>
      </c>
    </row>
    <row r="38" spans="1:7" x14ac:dyDescent="0.2">
      <c r="A38">
        <v>14</v>
      </c>
      <c r="B38">
        <v>0.71360796295171025</v>
      </c>
      <c r="C38">
        <v>-1.2397862951710303E-2</v>
      </c>
      <c r="D38">
        <v>-0.34626218978833168</v>
      </c>
      <c r="F38">
        <v>10.887096774193546</v>
      </c>
      <c r="G38">
        <v>0.68894290000000002</v>
      </c>
    </row>
    <row r="39" spans="1:7" x14ac:dyDescent="0.2">
      <c r="A39">
        <v>15</v>
      </c>
      <c r="B39">
        <v>0.71396823254255004</v>
      </c>
      <c r="C39">
        <v>-1.2816832542550061E-2</v>
      </c>
      <c r="D39">
        <v>-0.35796366838540572</v>
      </c>
      <c r="F39">
        <v>11.693548387096772</v>
      </c>
      <c r="G39">
        <v>0.68971689999999997</v>
      </c>
    </row>
    <row r="40" spans="1:7" x14ac:dyDescent="0.2">
      <c r="A40">
        <v>16</v>
      </c>
      <c r="B40">
        <v>0.71408055778493529</v>
      </c>
      <c r="C40">
        <v>-1.4196957784935238E-2</v>
      </c>
      <c r="D40">
        <v>-0.39650943957773199</v>
      </c>
      <c r="F40">
        <v>12.499999999999998</v>
      </c>
      <c r="G40">
        <v>0.68988339999999992</v>
      </c>
    </row>
    <row r="41" spans="1:7" x14ac:dyDescent="0.2">
      <c r="A41">
        <v>17</v>
      </c>
      <c r="B41">
        <v>0.71424452479766398</v>
      </c>
      <c r="C41">
        <v>-1.5018624797664026E-2</v>
      </c>
      <c r="D41">
        <v>-0.41945792837878443</v>
      </c>
      <c r="F41">
        <v>13.306451612903224</v>
      </c>
      <c r="G41">
        <v>0.68990849999999992</v>
      </c>
    </row>
    <row r="42" spans="1:7" x14ac:dyDescent="0.2">
      <c r="A42">
        <v>18</v>
      </c>
      <c r="B42">
        <v>0.71442492312327577</v>
      </c>
      <c r="C42">
        <v>-1.849632312327576E-2</v>
      </c>
      <c r="D42">
        <v>-0.5165872031852472</v>
      </c>
      <c r="F42">
        <v>14.11290322580645</v>
      </c>
      <c r="G42">
        <v>0.68996799999999991</v>
      </c>
    </row>
    <row r="43" spans="1:7" x14ac:dyDescent="0.2">
      <c r="A43">
        <v>19</v>
      </c>
      <c r="B43">
        <v>0.71482955401153681</v>
      </c>
      <c r="C43">
        <v>-2.0287954011536824E-2</v>
      </c>
      <c r="D43">
        <v>-0.56662599108587552</v>
      </c>
      <c r="F43">
        <v>14.919354838709676</v>
      </c>
      <c r="G43">
        <v>0.6901018000000001</v>
      </c>
    </row>
    <row r="44" spans="1:7" x14ac:dyDescent="0.2">
      <c r="A44">
        <v>20</v>
      </c>
      <c r="B44">
        <v>0.71512392583201145</v>
      </c>
      <c r="C44">
        <v>-2.2352125832011405E-2</v>
      </c>
      <c r="D44">
        <v>-0.62427662470239698</v>
      </c>
      <c r="F44">
        <v>15.725806451612902</v>
      </c>
      <c r="G44">
        <v>0.69019200000000003</v>
      </c>
    </row>
    <row r="45" spans="1:7" x14ac:dyDescent="0.2">
      <c r="A45">
        <v>21</v>
      </c>
      <c r="B45">
        <v>0.71547736346446789</v>
      </c>
      <c r="C45">
        <v>-2.4608463464467878E-2</v>
      </c>
      <c r="D45">
        <v>-0.68729429255042063</v>
      </c>
      <c r="F45">
        <v>16.532258064516128</v>
      </c>
      <c r="G45">
        <v>0.69022220000000001</v>
      </c>
    </row>
    <row r="46" spans="1:7" x14ac:dyDescent="0.2">
      <c r="A46">
        <v>22</v>
      </c>
      <c r="B46">
        <v>0.71598862966810894</v>
      </c>
      <c r="C46">
        <v>-2.610522966810902E-2</v>
      </c>
      <c r="D46">
        <v>-0.72909775055706472</v>
      </c>
      <c r="F46">
        <v>17.338709677419352</v>
      </c>
      <c r="G46">
        <v>0.69086890000000001</v>
      </c>
    </row>
    <row r="47" spans="1:7" x14ac:dyDescent="0.2">
      <c r="A47">
        <v>23</v>
      </c>
      <c r="B47">
        <v>0.71620954898263889</v>
      </c>
      <c r="C47">
        <v>-2.6017548982638861E-2</v>
      </c>
      <c r="D47">
        <v>-0.72664890060031861</v>
      </c>
      <c r="F47">
        <v>18.14516129032258</v>
      </c>
      <c r="G47">
        <v>0.69093270000000007</v>
      </c>
    </row>
    <row r="48" spans="1:7" x14ac:dyDescent="0.2">
      <c r="A48">
        <v>24</v>
      </c>
      <c r="B48">
        <v>0.71632533080758654</v>
      </c>
      <c r="C48">
        <v>-2.6416830807586611E-2</v>
      </c>
      <c r="D48">
        <v>-0.73780051597045115</v>
      </c>
      <c r="F48">
        <v>18.951612903225804</v>
      </c>
      <c r="G48">
        <v>0.69165699999999997</v>
      </c>
    </row>
    <row r="49" spans="1:7" x14ac:dyDescent="0.2">
      <c r="A49">
        <v>25</v>
      </c>
      <c r="B49">
        <v>0.71603416917155416</v>
      </c>
      <c r="C49">
        <v>-2.844436917155424E-2</v>
      </c>
      <c r="D49">
        <v>-0.79442800705676231</v>
      </c>
      <c r="F49">
        <v>19.758064516129028</v>
      </c>
      <c r="G49">
        <v>0.69217550000000005</v>
      </c>
    </row>
    <row r="50" spans="1:7" x14ac:dyDescent="0.2">
      <c r="A50">
        <v>26</v>
      </c>
      <c r="B50">
        <v>0.71612178595212572</v>
      </c>
      <c r="C50">
        <v>-2.5899585952125714E-2</v>
      </c>
      <c r="D50">
        <v>-0.72335428947107439</v>
      </c>
      <c r="F50">
        <v>20.564516129032256</v>
      </c>
      <c r="G50">
        <v>0.6922562000000001</v>
      </c>
    </row>
    <row r="51" spans="1:7" x14ac:dyDescent="0.2">
      <c r="A51">
        <v>27</v>
      </c>
      <c r="B51">
        <v>0.71599188842676875</v>
      </c>
      <c r="C51">
        <v>-2.5890088426768654E-2</v>
      </c>
      <c r="D51">
        <v>-0.72308903134227298</v>
      </c>
      <c r="F51">
        <v>21.37096774193548</v>
      </c>
      <c r="G51">
        <v>0.69249939999999999</v>
      </c>
    </row>
    <row r="52" spans="1:7" x14ac:dyDescent="0.2">
      <c r="A52">
        <v>28</v>
      </c>
      <c r="B52">
        <v>0.71567678720594263</v>
      </c>
      <c r="C52">
        <v>-2.4019787205942666E-2</v>
      </c>
      <c r="D52">
        <v>-0.67085304528488099</v>
      </c>
      <c r="F52">
        <v>22.177419354838708</v>
      </c>
      <c r="G52">
        <v>0.69259910000000002</v>
      </c>
    </row>
    <row r="53" spans="1:7" x14ac:dyDescent="0.2">
      <c r="A53">
        <v>29</v>
      </c>
      <c r="B53">
        <v>0.7150235045014508</v>
      </c>
      <c r="C53">
        <v>-2.2424404501450779E-2</v>
      </c>
      <c r="D53">
        <v>-0.62629530892664964</v>
      </c>
      <c r="F53">
        <v>22.983870967741932</v>
      </c>
      <c r="G53">
        <v>0.69264529999999991</v>
      </c>
    </row>
    <row r="54" spans="1:7" x14ac:dyDescent="0.2">
      <c r="A54">
        <v>30</v>
      </c>
      <c r="B54">
        <v>0.71482442132616464</v>
      </c>
      <c r="C54">
        <v>-2.5107521326164672E-2</v>
      </c>
      <c r="D54">
        <v>-0.70123257116305648</v>
      </c>
      <c r="F54">
        <v>23.79032258064516</v>
      </c>
      <c r="G54">
        <v>0.69267690000000004</v>
      </c>
    </row>
    <row r="55" spans="1:7" x14ac:dyDescent="0.2">
      <c r="A55">
        <v>31</v>
      </c>
      <c r="B55">
        <v>0.71499064554711289</v>
      </c>
      <c r="C55">
        <v>-2.8563545547112934E-2</v>
      </c>
      <c r="D55">
        <v>-0.79775650592247183</v>
      </c>
      <c r="F55">
        <v>24.596774193548384</v>
      </c>
      <c r="G55">
        <v>0.69277180000000005</v>
      </c>
    </row>
    <row r="56" spans="1:7" x14ac:dyDescent="0.2">
      <c r="A56">
        <v>32</v>
      </c>
      <c r="B56">
        <v>0.71542730610706029</v>
      </c>
      <c r="C56">
        <v>-3.0586906107060385E-2</v>
      </c>
      <c r="D56">
        <v>-0.85426731435354086</v>
      </c>
      <c r="F56">
        <v>25.403225806451612</v>
      </c>
      <c r="G56">
        <v>0.69300120000000009</v>
      </c>
    </row>
    <row r="57" spans="1:7" x14ac:dyDescent="0.2">
      <c r="A57">
        <v>33</v>
      </c>
      <c r="B57">
        <v>0.71630470065051166</v>
      </c>
      <c r="C57">
        <v>-3.2096600650511675E-2</v>
      </c>
      <c r="D57">
        <v>-0.89643185033551231</v>
      </c>
      <c r="F57">
        <v>26.209677419354836</v>
      </c>
      <c r="G57">
        <v>0.69315950000000004</v>
      </c>
    </row>
    <row r="58" spans="1:7" x14ac:dyDescent="0.2">
      <c r="A58">
        <v>34</v>
      </c>
      <c r="B58">
        <v>0.71698249038732986</v>
      </c>
      <c r="C58">
        <v>-3.532109038732989E-2</v>
      </c>
      <c r="D58">
        <v>-0.9864892159935712</v>
      </c>
      <c r="F58">
        <v>27.016129032258061</v>
      </c>
      <c r="G58">
        <v>0.6932005</v>
      </c>
    </row>
    <row r="59" spans="1:7" x14ac:dyDescent="0.2">
      <c r="A59">
        <v>35</v>
      </c>
      <c r="B59">
        <v>0.71776588478590531</v>
      </c>
      <c r="C59">
        <v>-3.4943384785905307E-2</v>
      </c>
      <c r="D59">
        <v>-0.97594020693015415</v>
      </c>
      <c r="F59">
        <v>27.822580645161288</v>
      </c>
      <c r="G59">
        <v>0.69346560000000002</v>
      </c>
    </row>
    <row r="60" spans="1:7" x14ac:dyDescent="0.2">
      <c r="A60">
        <v>36</v>
      </c>
      <c r="B60">
        <v>0.71842448970274453</v>
      </c>
      <c r="C60">
        <v>-3.4568389702744562E-2</v>
      </c>
      <c r="D60">
        <v>-0.96546690042879579</v>
      </c>
      <c r="F60">
        <v>28.629032258064512</v>
      </c>
      <c r="G60">
        <v>0.69454159999999998</v>
      </c>
    </row>
    <row r="61" spans="1:7" x14ac:dyDescent="0.2">
      <c r="A61">
        <v>37</v>
      </c>
      <c r="B61">
        <v>0.71926040351844511</v>
      </c>
      <c r="C61">
        <v>-3.5969903518445201E-2</v>
      </c>
      <c r="D61">
        <v>-1.0046100370107465</v>
      </c>
      <c r="F61">
        <v>29.43548387096774</v>
      </c>
      <c r="G61">
        <v>0.69468279999999993</v>
      </c>
    </row>
    <row r="62" spans="1:7" x14ac:dyDescent="0.2">
      <c r="A62">
        <v>38</v>
      </c>
      <c r="B62">
        <v>0.72011832749423321</v>
      </c>
      <c r="C62">
        <v>-3.6774927494233278E-2</v>
      </c>
      <c r="D62">
        <v>-1.0270936993785447</v>
      </c>
      <c r="F62">
        <v>30.241935483870964</v>
      </c>
      <c r="G62">
        <v>0.69488309999999998</v>
      </c>
    </row>
    <row r="63" spans="1:7" x14ac:dyDescent="0.2">
      <c r="A63">
        <v>39</v>
      </c>
      <c r="B63">
        <v>0.72093928224228887</v>
      </c>
      <c r="C63">
        <v>-3.6206382242288782E-2</v>
      </c>
      <c r="D63">
        <v>-1.0112146946904907</v>
      </c>
      <c r="F63">
        <v>31.048387096774192</v>
      </c>
      <c r="G63">
        <v>0.69512330000000011</v>
      </c>
    </row>
    <row r="64" spans="1:7" x14ac:dyDescent="0.2">
      <c r="A64">
        <v>40</v>
      </c>
      <c r="B64">
        <v>0.72188811115111706</v>
      </c>
      <c r="C64">
        <v>-3.4892011151116953E-2</v>
      </c>
      <c r="D64">
        <v>-0.97450538325542169</v>
      </c>
      <c r="F64">
        <v>31.854838709677416</v>
      </c>
      <c r="G64">
        <v>0.69592860000000001</v>
      </c>
    </row>
    <row r="65" spans="1:7" x14ac:dyDescent="0.2">
      <c r="A65">
        <v>41</v>
      </c>
      <c r="B65">
        <v>0.72277655019505649</v>
      </c>
      <c r="C65">
        <v>-3.5740550195056509E-2</v>
      </c>
      <c r="D65">
        <v>-0.99820438594804917</v>
      </c>
      <c r="F65">
        <v>32.661290322580648</v>
      </c>
      <c r="G65">
        <v>0.69606699999999999</v>
      </c>
    </row>
    <row r="66" spans="1:7" x14ac:dyDescent="0.2">
      <c r="A66">
        <v>42</v>
      </c>
      <c r="B66">
        <v>0.72380994030900903</v>
      </c>
      <c r="C66">
        <v>-3.7151840309009088E-2</v>
      </c>
      <c r="D66">
        <v>-1.0376205665581462</v>
      </c>
      <c r="F66">
        <v>33.467741935483872</v>
      </c>
      <c r="G66">
        <v>0.69695499999999999</v>
      </c>
    </row>
    <row r="67" spans="1:7" x14ac:dyDescent="0.2">
      <c r="A67">
        <v>43</v>
      </c>
      <c r="B67">
        <v>0.72468007839560145</v>
      </c>
      <c r="C67">
        <v>-3.5737178395601421E-2</v>
      </c>
      <c r="D67">
        <v>-0.99811021434223346</v>
      </c>
      <c r="F67">
        <v>34.274193548387096</v>
      </c>
      <c r="G67">
        <v>0.6976405</v>
      </c>
    </row>
    <row r="68" spans="1:7" x14ac:dyDescent="0.2">
      <c r="A68">
        <v>44</v>
      </c>
      <c r="B68">
        <v>0.72557585362505783</v>
      </c>
      <c r="C68">
        <v>-3.5607853625057917E-2</v>
      </c>
      <c r="D68">
        <v>-0.99449827909043342</v>
      </c>
      <c r="F68">
        <v>35.08064516129032</v>
      </c>
      <c r="G68">
        <v>0.69822819999999997</v>
      </c>
    </row>
    <row r="69" spans="1:7" x14ac:dyDescent="0.2">
      <c r="A69">
        <v>45</v>
      </c>
      <c r="B69">
        <v>0.72603167450434114</v>
      </c>
      <c r="C69">
        <v>-3.5098974504341074E-2</v>
      </c>
      <c r="D69">
        <v>-0.98028570073210708</v>
      </c>
      <c r="F69">
        <v>35.887096774193552</v>
      </c>
      <c r="G69">
        <v>0.69922589999999996</v>
      </c>
    </row>
    <row r="70" spans="1:7" x14ac:dyDescent="0.2">
      <c r="A70">
        <v>46</v>
      </c>
      <c r="B70">
        <v>0.72657404059516062</v>
      </c>
      <c r="C70">
        <v>-3.3373540595160622E-2</v>
      </c>
      <c r="D70">
        <v>-0.93209574040951404</v>
      </c>
      <c r="F70">
        <v>36.693548387096776</v>
      </c>
      <c r="G70">
        <v>0.69987189999999999</v>
      </c>
    </row>
    <row r="71" spans="1:7" x14ac:dyDescent="0.2">
      <c r="A71">
        <v>47</v>
      </c>
      <c r="B71">
        <v>0.72703407594510527</v>
      </c>
      <c r="C71">
        <v>-3.0967075945105282E-2</v>
      </c>
      <c r="D71">
        <v>-0.86488514753379409</v>
      </c>
      <c r="F71">
        <v>37.5</v>
      </c>
      <c r="G71">
        <v>0.69988360000000005</v>
      </c>
    </row>
    <row r="72" spans="1:7" x14ac:dyDescent="0.2">
      <c r="A72">
        <v>48</v>
      </c>
      <c r="B72">
        <v>0.72758633876196943</v>
      </c>
      <c r="C72">
        <v>-3.2903538761969497E-2</v>
      </c>
      <c r="D72">
        <v>-0.91896897294973678</v>
      </c>
      <c r="F72">
        <v>38.306451612903224</v>
      </c>
      <c r="G72">
        <v>0.70028499999999994</v>
      </c>
    </row>
    <row r="73" spans="1:7" x14ac:dyDescent="0.2">
      <c r="A73">
        <v>49</v>
      </c>
      <c r="B73">
        <v>0.72779417485476361</v>
      </c>
      <c r="C73">
        <v>-2.9565974854763644E-2</v>
      </c>
      <c r="D73">
        <v>-0.82575353803414331</v>
      </c>
      <c r="F73">
        <v>39.112903225806448</v>
      </c>
      <c r="G73">
        <v>0.70036220000000005</v>
      </c>
    </row>
    <row r="74" spans="1:7" x14ac:dyDescent="0.2">
      <c r="A74">
        <v>50</v>
      </c>
      <c r="B74">
        <v>0.72806149784461227</v>
      </c>
      <c r="C74">
        <v>-2.818959784461228E-2</v>
      </c>
      <c r="D74">
        <v>-0.78731245190779753</v>
      </c>
      <c r="F74">
        <v>39.91935483870968</v>
      </c>
      <c r="G74">
        <v>0.70060180000000005</v>
      </c>
    </row>
    <row r="75" spans="1:7" x14ac:dyDescent="0.2">
      <c r="A75">
        <v>51</v>
      </c>
      <c r="B75">
        <v>0.72825707418022212</v>
      </c>
      <c r="C75">
        <v>-2.7159074180222009E-2</v>
      </c>
      <c r="D75">
        <v>-0.75853076735052105</v>
      </c>
      <c r="F75">
        <v>40.725806451612904</v>
      </c>
      <c r="G75">
        <v>0.70078220000000002</v>
      </c>
    </row>
    <row r="76" spans="1:7" x14ac:dyDescent="0.2">
      <c r="A76">
        <v>52</v>
      </c>
      <c r="B76">
        <v>0.72855282724716885</v>
      </c>
      <c r="C76">
        <v>-2.6350927247168809E-2</v>
      </c>
      <c r="D76">
        <v>-0.73595988333610118</v>
      </c>
      <c r="F76">
        <v>41.532258064516128</v>
      </c>
      <c r="G76">
        <v>0.70080029999999993</v>
      </c>
    </row>
    <row r="77" spans="1:7" x14ac:dyDescent="0.2">
      <c r="A77">
        <v>53</v>
      </c>
      <c r="B77">
        <v>0.72913208758120562</v>
      </c>
      <c r="C77">
        <v>-2.4757687581205667E-2</v>
      </c>
      <c r="D77">
        <v>-0.69146200029425631</v>
      </c>
      <c r="F77">
        <v>42.338709677419352</v>
      </c>
      <c r="G77">
        <v>0.70109800000000011</v>
      </c>
    </row>
    <row r="78" spans="1:7" x14ac:dyDescent="0.2">
      <c r="A78">
        <v>54</v>
      </c>
      <c r="B78">
        <v>0.72926941577185811</v>
      </c>
      <c r="C78">
        <v>-2.0015415771858169E-2</v>
      </c>
      <c r="D78">
        <v>-0.55901422057028272</v>
      </c>
      <c r="F78">
        <v>43.145161290322584</v>
      </c>
      <c r="G78">
        <v>0.70115139999999998</v>
      </c>
    </row>
    <row r="79" spans="1:7" x14ac:dyDescent="0.2">
      <c r="A79">
        <v>55</v>
      </c>
      <c r="B79">
        <v>0.72950664565902623</v>
      </c>
      <c r="C79">
        <v>-2.1549145659026214E-2</v>
      </c>
      <c r="D79">
        <v>-0.60185004407818465</v>
      </c>
      <c r="F79">
        <v>43.951612903225808</v>
      </c>
      <c r="G79">
        <v>0.70121009999999995</v>
      </c>
    </row>
    <row r="80" spans="1:7" x14ac:dyDescent="0.2">
      <c r="A80">
        <v>56</v>
      </c>
      <c r="B80">
        <v>0.72974333547246306</v>
      </c>
      <c r="C80">
        <v>-2.047263547246303E-2</v>
      </c>
      <c r="D80">
        <v>-0.57178399350312237</v>
      </c>
      <c r="F80">
        <v>44.758064516129032</v>
      </c>
      <c r="G80">
        <v>0.70220190000000005</v>
      </c>
    </row>
    <row r="81" spans="1:7" x14ac:dyDescent="0.2">
      <c r="A81">
        <v>57</v>
      </c>
      <c r="B81">
        <v>0.72955478781506966</v>
      </c>
      <c r="C81">
        <v>-2.183178781506967E-2</v>
      </c>
      <c r="D81">
        <v>-0.60974400872832635</v>
      </c>
      <c r="F81">
        <v>45.564516129032256</v>
      </c>
      <c r="G81">
        <v>0.702569</v>
      </c>
    </row>
    <row r="82" spans="1:7" x14ac:dyDescent="0.2">
      <c r="A82">
        <v>58</v>
      </c>
      <c r="B82">
        <v>0.72974948132702322</v>
      </c>
      <c r="C82">
        <v>-2.0275181327023217E-2</v>
      </c>
      <c r="D82">
        <v>-0.5662692604358931</v>
      </c>
      <c r="F82">
        <v>46.37096774193548</v>
      </c>
      <c r="G82">
        <v>0.7037736</v>
      </c>
    </row>
    <row r="83" spans="1:7" x14ac:dyDescent="0.2">
      <c r="A83">
        <v>59</v>
      </c>
      <c r="B83">
        <v>0.72983522300904602</v>
      </c>
      <c r="C83">
        <v>-2.1397123009045949E-2</v>
      </c>
      <c r="D83">
        <v>-0.59760417558579826</v>
      </c>
      <c r="F83">
        <v>47.177419354838712</v>
      </c>
      <c r="G83">
        <v>0.70396400000000003</v>
      </c>
    </row>
    <row r="84" spans="1:7" x14ac:dyDescent="0.2">
      <c r="A84">
        <v>60</v>
      </c>
      <c r="B84">
        <v>0.72968480674808689</v>
      </c>
      <c r="C84">
        <v>-2.0577506748086893E-2</v>
      </c>
      <c r="D84">
        <v>-0.57471296260730209</v>
      </c>
      <c r="F84">
        <v>47.983870967741936</v>
      </c>
      <c r="G84">
        <v>0.70402310000000001</v>
      </c>
    </row>
    <row r="85" spans="1:7" x14ac:dyDescent="0.2">
      <c r="A85">
        <v>61</v>
      </c>
      <c r="B85">
        <v>0.72946259094802868</v>
      </c>
      <c r="C85">
        <v>-2.4208490948028794E-2</v>
      </c>
      <c r="D85">
        <v>-0.67612338673086225</v>
      </c>
      <c r="F85">
        <v>48.79032258064516</v>
      </c>
      <c r="G85">
        <v>0.70437439999999996</v>
      </c>
    </row>
    <row r="86" spans="1:7" x14ac:dyDescent="0.2">
      <c r="A86">
        <v>62</v>
      </c>
      <c r="B86">
        <v>0.72945469271074126</v>
      </c>
      <c r="C86">
        <v>-2.9169692710741324E-2</v>
      </c>
      <c r="D86">
        <v>-0.81468570130311591</v>
      </c>
      <c r="F86">
        <v>49.596774193548384</v>
      </c>
      <c r="G86">
        <v>0.70501410000000009</v>
      </c>
    </row>
    <row r="87" spans="1:7" x14ac:dyDescent="0.2">
      <c r="A87">
        <v>63</v>
      </c>
      <c r="B87">
        <v>0.72955839501266406</v>
      </c>
      <c r="C87">
        <v>-2.895659501266401E-2</v>
      </c>
      <c r="D87">
        <v>-0.80873405658317454</v>
      </c>
      <c r="F87">
        <v>50.403225806451616</v>
      </c>
      <c r="G87">
        <v>0.7050805</v>
      </c>
    </row>
    <row r="88" spans="1:7" x14ac:dyDescent="0.2">
      <c r="A88">
        <v>64</v>
      </c>
      <c r="B88">
        <v>0.72959479055482723</v>
      </c>
      <c r="C88">
        <v>-2.8794490554827301E-2</v>
      </c>
      <c r="D88">
        <v>-0.80420661142882677</v>
      </c>
      <c r="F88">
        <v>51.20967741935484</v>
      </c>
      <c r="G88">
        <v>0.70525409999999988</v>
      </c>
    </row>
    <row r="89" spans="1:7" x14ac:dyDescent="0.2">
      <c r="A89">
        <v>65</v>
      </c>
      <c r="B89">
        <v>0.72976535640583629</v>
      </c>
      <c r="C89">
        <v>-2.7196356405836286E-2</v>
      </c>
      <c r="D89">
        <v>-0.75957202947219993</v>
      </c>
      <c r="F89">
        <v>52.016129032258064</v>
      </c>
      <c r="G89">
        <v>0.70697199999999993</v>
      </c>
    </row>
    <row r="90" spans="1:7" x14ac:dyDescent="0.2">
      <c r="A90">
        <v>66</v>
      </c>
      <c r="B90">
        <v>0.73000637930541457</v>
      </c>
      <c r="C90">
        <v>-2.9224179305414544E-2</v>
      </c>
      <c r="D90">
        <v>-0.81620746740580186</v>
      </c>
      <c r="F90">
        <v>52.822580645161288</v>
      </c>
      <c r="G90">
        <v>0.70772299999999999</v>
      </c>
    </row>
    <row r="91" spans="1:7" x14ac:dyDescent="0.2">
      <c r="A91">
        <v>67</v>
      </c>
      <c r="B91">
        <v>0.73036278057530435</v>
      </c>
      <c r="C91">
        <v>-2.6339680575304336E-2</v>
      </c>
      <c r="D91">
        <v>-0.73564577297346923</v>
      </c>
      <c r="F91">
        <v>53.629032258064512</v>
      </c>
      <c r="G91">
        <v>0.70785229999999999</v>
      </c>
    </row>
    <row r="92" spans="1:7" x14ac:dyDescent="0.2">
      <c r="A92">
        <v>68</v>
      </c>
      <c r="B92">
        <v>0.73047558580612648</v>
      </c>
      <c r="C92">
        <v>-2.6511585806126448E-2</v>
      </c>
      <c r="D92">
        <v>-0.74044694571528613</v>
      </c>
      <c r="F92">
        <v>54.435483870967744</v>
      </c>
      <c r="G92">
        <v>0.70795750000000002</v>
      </c>
    </row>
    <row r="93" spans="1:7" x14ac:dyDescent="0.2">
      <c r="A93">
        <v>69</v>
      </c>
      <c r="B93">
        <v>0.73068930825456335</v>
      </c>
      <c r="C93">
        <v>-2.2426708254563277E-2</v>
      </c>
      <c r="D93">
        <v>-0.626359650870142</v>
      </c>
      <c r="F93">
        <v>55.241935483870968</v>
      </c>
      <c r="G93">
        <v>0.70826260000000008</v>
      </c>
    </row>
    <row r="94" spans="1:7" x14ac:dyDescent="0.2">
      <c r="A94">
        <v>70</v>
      </c>
      <c r="B94">
        <v>0.73092503869686842</v>
      </c>
      <c r="C94">
        <v>-2.0199138696868402E-2</v>
      </c>
      <c r="D94">
        <v>-0.56414545186200993</v>
      </c>
      <c r="F94">
        <v>56.048387096774192</v>
      </c>
      <c r="G94">
        <v>0.70843810000000007</v>
      </c>
    </row>
    <row r="95" spans="1:7" x14ac:dyDescent="0.2">
      <c r="A95">
        <v>71</v>
      </c>
      <c r="B95">
        <v>0.73100669054352274</v>
      </c>
      <c r="C95">
        <v>-2.3154390543522751E-2</v>
      </c>
      <c r="D95">
        <v>-0.64668322307179582</v>
      </c>
      <c r="F95">
        <v>56.854838709677416</v>
      </c>
      <c r="G95">
        <v>0.70907939999999992</v>
      </c>
    </row>
    <row r="96" spans="1:7" x14ac:dyDescent="0.2">
      <c r="A96">
        <v>72</v>
      </c>
      <c r="B96">
        <v>0.73081814925909527</v>
      </c>
      <c r="C96">
        <v>-2.5737649259095274E-2</v>
      </c>
      <c r="D96">
        <v>-0.71883152985079113</v>
      </c>
      <c r="F96">
        <v>57.661290322580648</v>
      </c>
      <c r="G96">
        <v>0.7091073</v>
      </c>
    </row>
    <row r="97" spans="1:7" x14ac:dyDescent="0.2">
      <c r="A97">
        <v>73</v>
      </c>
      <c r="B97">
        <v>0.73069373051128972</v>
      </c>
      <c r="C97">
        <v>-2.6920130511289719E-2</v>
      </c>
      <c r="D97">
        <v>-0.75185726576699696</v>
      </c>
      <c r="F97">
        <v>58.467741935483872</v>
      </c>
      <c r="G97">
        <v>0.70925399999999994</v>
      </c>
    </row>
    <row r="98" spans="1:7" x14ac:dyDescent="0.2">
      <c r="A98">
        <v>74</v>
      </c>
      <c r="B98">
        <v>0.73008241560578235</v>
      </c>
      <c r="C98">
        <v>-2.5068315605782265E-2</v>
      </c>
      <c r="D98">
        <v>-0.70013758740297483</v>
      </c>
      <c r="F98">
        <v>59.274193548387096</v>
      </c>
      <c r="G98">
        <v>0.70927070000000003</v>
      </c>
    </row>
    <row r="99" spans="1:7" x14ac:dyDescent="0.2">
      <c r="A99">
        <v>75</v>
      </c>
      <c r="B99">
        <v>0.72939808507407433</v>
      </c>
      <c r="C99">
        <v>-2.2426085074074398E-2</v>
      </c>
      <c r="D99">
        <v>-0.62634224594789423</v>
      </c>
      <c r="F99">
        <v>60.08064516129032</v>
      </c>
      <c r="G99">
        <v>0.7094743</v>
      </c>
    </row>
    <row r="100" spans="1:7" x14ac:dyDescent="0.2">
      <c r="A100">
        <v>76</v>
      </c>
      <c r="B100">
        <v>0.7288205380379229</v>
      </c>
      <c r="C100">
        <v>-1.9741138037922989E-2</v>
      </c>
      <c r="D100">
        <v>-0.55135386740034587</v>
      </c>
      <c r="F100">
        <v>60.887096774193544</v>
      </c>
      <c r="G100">
        <v>0.71072590000000002</v>
      </c>
    </row>
    <row r="101" spans="1:7" x14ac:dyDescent="0.2">
      <c r="A101">
        <v>77</v>
      </c>
      <c r="B101">
        <v>0.72815788182935393</v>
      </c>
      <c r="C101">
        <v>-1.5533181829354037E-2</v>
      </c>
      <c r="D101">
        <v>-0.43382908615476129</v>
      </c>
      <c r="F101">
        <v>61.693548387096776</v>
      </c>
      <c r="G101">
        <v>0.71262469999999989</v>
      </c>
    </row>
    <row r="102" spans="1:7" x14ac:dyDescent="0.2">
      <c r="A102">
        <v>78</v>
      </c>
      <c r="B102">
        <v>0.7274812941236537</v>
      </c>
      <c r="C102">
        <v>-1.1053194123653687E-2</v>
      </c>
      <c r="D102">
        <v>-0.30870668729918999</v>
      </c>
      <c r="F102">
        <v>62.5</v>
      </c>
      <c r="G102">
        <v>0.71642810000000001</v>
      </c>
    </row>
    <row r="103" spans="1:7" x14ac:dyDescent="0.2">
      <c r="A103">
        <v>79</v>
      </c>
      <c r="B103">
        <v>0.72708311782833424</v>
      </c>
      <c r="C103">
        <v>-7.7839178283343191E-3</v>
      </c>
      <c r="D103">
        <v>-0.21739846962896611</v>
      </c>
      <c r="F103">
        <v>63.306451612903224</v>
      </c>
      <c r="G103">
        <v>0.71929919999999992</v>
      </c>
    </row>
    <row r="104" spans="1:7" x14ac:dyDescent="0.2">
      <c r="A104">
        <v>80</v>
      </c>
      <c r="B104">
        <v>0.72646359362202584</v>
      </c>
      <c r="C104">
        <v>-4.3817936220258424E-3</v>
      </c>
      <c r="D104">
        <v>-0.12237991827082641</v>
      </c>
      <c r="F104">
        <v>64.112903225806448</v>
      </c>
      <c r="G104">
        <v>0.7220818</v>
      </c>
    </row>
    <row r="105" spans="1:7" x14ac:dyDescent="0.2">
      <c r="A105">
        <v>81</v>
      </c>
      <c r="B105">
        <v>0.72584635641763662</v>
      </c>
      <c r="C105">
        <v>-7.3925641763661343E-4</v>
      </c>
      <c r="D105">
        <v>-2.0646828165705677E-2</v>
      </c>
      <c r="F105">
        <v>64.91935483870968</v>
      </c>
      <c r="G105">
        <v>0.7251071</v>
      </c>
    </row>
    <row r="106" spans="1:7" x14ac:dyDescent="0.2">
      <c r="A106">
        <v>82</v>
      </c>
      <c r="B106">
        <v>0.72557666499096651</v>
      </c>
      <c r="C106">
        <v>1.5839350090334214E-3</v>
      </c>
      <c r="D106">
        <v>4.4238011570748408E-2</v>
      </c>
      <c r="F106">
        <v>65.725806451612897</v>
      </c>
      <c r="G106">
        <v>0.72716059999999993</v>
      </c>
    </row>
    <row r="107" spans="1:7" x14ac:dyDescent="0.2">
      <c r="A107">
        <v>83</v>
      </c>
      <c r="B107">
        <v>0.72471310128405031</v>
      </c>
      <c r="C107">
        <v>3.7360987159497094E-3</v>
      </c>
      <c r="D107">
        <v>0.10434618673306571</v>
      </c>
      <c r="F107">
        <v>66.532258064516128</v>
      </c>
      <c r="G107">
        <v>0.72844920000000002</v>
      </c>
    </row>
    <row r="108" spans="1:7" x14ac:dyDescent="0.2">
      <c r="A108">
        <v>84</v>
      </c>
      <c r="B108">
        <v>0.7240843544795017</v>
      </c>
      <c r="C108">
        <v>5.7020455204982445E-3</v>
      </c>
      <c r="D108">
        <v>0.15925347585231195</v>
      </c>
      <c r="F108">
        <v>67.338709677419359</v>
      </c>
      <c r="G108">
        <v>0.72978639999999995</v>
      </c>
    </row>
    <row r="109" spans="1:7" x14ac:dyDescent="0.2">
      <c r="A109">
        <v>85</v>
      </c>
      <c r="B109">
        <v>0.72367107541560716</v>
      </c>
      <c r="C109">
        <v>7.6045245843928688E-3</v>
      </c>
      <c r="D109">
        <v>0.21238816279444592</v>
      </c>
      <c r="F109">
        <v>68.145161290322577</v>
      </c>
      <c r="G109">
        <v>0.73127560000000003</v>
      </c>
    </row>
    <row r="110" spans="1:7" x14ac:dyDescent="0.2">
      <c r="A110">
        <v>86</v>
      </c>
      <c r="B110">
        <v>0.72330965712280959</v>
      </c>
      <c r="C110">
        <v>8.7669428771904867E-3</v>
      </c>
      <c r="D110">
        <v>0.24485355663545394</v>
      </c>
      <c r="F110">
        <v>68.951612903225808</v>
      </c>
      <c r="G110">
        <v>0.73207660000000008</v>
      </c>
    </row>
    <row r="111" spans="1:7" x14ac:dyDescent="0.2">
      <c r="A111">
        <v>87</v>
      </c>
      <c r="B111">
        <v>0.72285430007611806</v>
      </c>
      <c r="C111">
        <v>1.1765699923881989E-2</v>
      </c>
      <c r="D111">
        <v>0.32860639256169294</v>
      </c>
      <c r="F111">
        <v>69.758064516129025</v>
      </c>
      <c r="G111">
        <v>0.73462000000000005</v>
      </c>
    </row>
    <row r="112" spans="1:7" x14ac:dyDescent="0.2">
      <c r="A112">
        <v>88</v>
      </c>
      <c r="B112">
        <v>0.72246475344088301</v>
      </c>
      <c r="C112">
        <v>1.5467346559116968E-2</v>
      </c>
      <c r="D112">
        <v>0.43199036080940256</v>
      </c>
      <c r="F112">
        <v>70.564516129032256</v>
      </c>
      <c r="G112">
        <v>0.73793209999999998</v>
      </c>
    </row>
    <row r="113" spans="1:7" x14ac:dyDescent="0.2">
      <c r="A113">
        <v>89</v>
      </c>
      <c r="B113">
        <v>0.7219580726416035</v>
      </c>
      <c r="C113">
        <v>1.8815927358396434E-2</v>
      </c>
      <c r="D113">
        <v>0.52551348852567692</v>
      </c>
      <c r="F113">
        <v>71.370967741935488</v>
      </c>
      <c r="G113">
        <v>0.74077399999999993</v>
      </c>
    </row>
    <row r="114" spans="1:7" x14ac:dyDescent="0.2">
      <c r="A114">
        <v>90</v>
      </c>
      <c r="B114">
        <v>0.72173371701304989</v>
      </c>
      <c r="C114">
        <v>2.1175182986950203E-2</v>
      </c>
      <c r="D114">
        <v>0.59140557197549282</v>
      </c>
      <c r="F114">
        <v>72.177419354838705</v>
      </c>
      <c r="G114">
        <v>0.74290890000000009</v>
      </c>
    </row>
    <row r="115" spans="1:7" x14ac:dyDescent="0.2">
      <c r="A115">
        <v>91</v>
      </c>
      <c r="B115">
        <v>0.7213880204303158</v>
      </c>
      <c r="C115">
        <v>2.520777956968423E-2</v>
      </c>
      <c r="D115">
        <v>0.70403270204695412</v>
      </c>
      <c r="F115">
        <v>72.983870967741936</v>
      </c>
      <c r="G115">
        <v>0.74659580000000003</v>
      </c>
    </row>
    <row r="116" spans="1:7" x14ac:dyDescent="0.2">
      <c r="A116">
        <v>92</v>
      </c>
      <c r="B116">
        <v>0.72116806160737923</v>
      </c>
      <c r="C116">
        <v>2.7305938392620743E-2</v>
      </c>
      <c r="D116">
        <v>0.76263256489295217</v>
      </c>
      <c r="F116">
        <v>73.790322580645153</v>
      </c>
      <c r="G116">
        <v>0.74847399999999997</v>
      </c>
    </row>
    <row r="117" spans="1:7" x14ac:dyDescent="0.2">
      <c r="A117">
        <v>93</v>
      </c>
      <c r="B117">
        <v>0.72094739900659444</v>
      </c>
      <c r="C117">
        <v>2.8212200993405601E-2</v>
      </c>
      <c r="D117">
        <v>0.7879437393988572</v>
      </c>
      <c r="F117">
        <v>74.596774193548384</v>
      </c>
      <c r="G117">
        <v>0.74915960000000004</v>
      </c>
    </row>
    <row r="118" spans="1:7" x14ac:dyDescent="0.2">
      <c r="A118">
        <v>94</v>
      </c>
      <c r="B118">
        <v>0.72065037224027473</v>
      </c>
      <c r="C118">
        <v>3.1346527759725351E-2</v>
      </c>
      <c r="D118">
        <v>0.87548292690603469</v>
      </c>
      <c r="F118">
        <v>75.403225806451616</v>
      </c>
      <c r="G118">
        <v>0.75199690000000008</v>
      </c>
    </row>
    <row r="119" spans="1:7" x14ac:dyDescent="0.2">
      <c r="A119">
        <v>95</v>
      </c>
      <c r="B119">
        <v>0.72050967870938698</v>
      </c>
      <c r="C119">
        <v>3.482102129061293E-2</v>
      </c>
      <c r="D119">
        <v>0.97252269441246275</v>
      </c>
      <c r="F119">
        <v>76.209677419354833</v>
      </c>
      <c r="G119">
        <v>0.75533069999999991</v>
      </c>
    </row>
    <row r="120" spans="1:7" x14ac:dyDescent="0.2">
      <c r="A120">
        <v>96</v>
      </c>
      <c r="B120">
        <v>0.72038393395683809</v>
      </c>
      <c r="C120">
        <v>3.797506604316192E-2</v>
      </c>
      <c r="D120">
        <v>1.0606125891759268</v>
      </c>
      <c r="F120">
        <v>77.016129032258064</v>
      </c>
      <c r="G120">
        <v>0.75835900000000001</v>
      </c>
    </row>
    <row r="121" spans="1:7" x14ac:dyDescent="0.2">
      <c r="A121">
        <v>97</v>
      </c>
      <c r="B121">
        <v>0.72028334936332494</v>
      </c>
      <c r="C121">
        <v>4.4135550636675069E-2</v>
      </c>
      <c r="D121">
        <v>1.2326698940369127</v>
      </c>
      <c r="F121">
        <v>77.822580645161281</v>
      </c>
      <c r="G121">
        <v>0.76441890000000001</v>
      </c>
    </row>
    <row r="122" spans="1:7" x14ac:dyDescent="0.2">
      <c r="A122">
        <v>98</v>
      </c>
      <c r="B122">
        <v>0.72028762059545171</v>
      </c>
      <c r="C122">
        <v>4.8892479404548217E-2</v>
      </c>
      <c r="D122">
        <v>1.3655270306455765</v>
      </c>
      <c r="F122">
        <v>78.629032258064512</v>
      </c>
      <c r="G122">
        <v>0.76918009999999992</v>
      </c>
    </row>
    <row r="123" spans="1:7" x14ac:dyDescent="0.2">
      <c r="A123">
        <v>99</v>
      </c>
      <c r="B123">
        <v>0.72021146754237075</v>
      </c>
      <c r="C123">
        <v>5.0122132457629309E-2</v>
      </c>
      <c r="D123">
        <v>1.3998702364463012</v>
      </c>
      <c r="F123">
        <v>79.435483870967744</v>
      </c>
      <c r="G123">
        <v>0.77033360000000006</v>
      </c>
    </row>
    <row r="124" spans="1:7" x14ac:dyDescent="0.2">
      <c r="A124">
        <v>100</v>
      </c>
      <c r="B124">
        <v>0.72021731311762616</v>
      </c>
      <c r="C124">
        <v>5.3553286882373818E-2</v>
      </c>
      <c r="D124">
        <v>1.4956995781031275</v>
      </c>
      <c r="F124">
        <v>80.241935483870961</v>
      </c>
      <c r="G124">
        <v>0.77086650000000001</v>
      </c>
    </row>
    <row r="125" spans="1:7" x14ac:dyDescent="0.2">
      <c r="A125">
        <v>101</v>
      </c>
      <c r="B125">
        <v>0.72029143568202958</v>
      </c>
      <c r="C125">
        <v>5.4901364317970325E-2</v>
      </c>
      <c r="D125">
        <v>1.5333502802178409</v>
      </c>
      <c r="F125">
        <v>81.048387096774192</v>
      </c>
      <c r="G125">
        <v>0.77168170000000003</v>
      </c>
    </row>
    <row r="126" spans="1:7" x14ac:dyDescent="0.2">
      <c r="A126">
        <v>102</v>
      </c>
      <c r="B126">
        <v>0.72031914448209433</v>
      </c>
      <c r="C126">
        <v>5.6739855517905613E-2</v>
      </c>
      <c r="D126">
        <v>1.5846978383636059</v>
      </c>
      <c r="F126">
        <v>81.854838709677423</v>
      </c>
      <c r="G126">
        <v>0.77377059999999998</v>
      </c>
    </row>
    <row r="127" spans="1:7" x14ac:dyDescent="0.2">
      <c r="A127">
        <v>103</v>
      </c>
      <c r="B127">
        <v>0.72032395992068521</v>
      </c>
      <c r="C127">
        <v>5.8947940079314698E-2</v>
      </c>
      <c r="D127">
        <v>1.6463678373343433</v>
      </c>
      <c r="F127">
        <v>82.661290322580641</v>
      </c>
      <c r="G127">
        <v>0.77474599999999993</v>
      </c>
    </row>
    <row r="128" spans="1:7" x14ac:dyDescent="0.2">
      <c r="A128">
        <v>104</v>
      </c>
      <c r="B128">
        <v>0.72066537232288663</v>
      </c>
      <c r="C128">
        <v>6.0306727677113425E-2</v>
      </c>
      <c r="D128">
        <v>1.6843176655348646</v>
      </c>
      <c r="F128">
        <v>83.467741935483872</v>
      </c>
      <c r="G128">
        <v>0.7751927999999999</v>
      </c>
    </row>
    <row r="129" spans="1:7" x14ac:dyDescent="0.2">
      <c r="A129">
        <v>105</v>
      </c>
      <c r="B129">
        <v>0.7208439954210798</v>
      </c>
      <c r="C129">
        <v>5.9829704578920118E-2</v>
      </c>
      <c r="D129">
        <v>1.6709947998762114</v>
      </c>
      <c r="F129">
        <v>84.274193548387089</v>
      </c>
      <c r="G129">
        <v>0.77705899999999994</v>
      </c>
    </row>
    <row r="130" spans="1:7" x14ac:dyDescent="0.2">
      <c r="A130">
        <v>106</v>
      </c>
      <c r="B130">
        <v>0.72087010852071509</v>
      </c>
      <c r="C130">
        <v>4.9996391479284918E-2</v>
      </c>
      <c r="D130">
        <v>1.3963583935845723</v>
      </c>
      <c r="F130">
        <v>85.08064516129032</v>
      </c>
      <c r="G130">
        <v>0.77773009999999998</v>
      </c>
    </row>
    <row r="131" spans="1:7" x14ac:dyDescent="0.2">
      <c r="A131">
        <v>107</v>
      </c>
      <c r="B131">
        <v>0.7212270601907218</v>
      </c>
      <c r="C131">
        <v>5.0454639809278223E-2</v>
      </c>
      <c r="D131">
        <v>1.4091568952963887</v>
      </c>
      <c r="F131">
        <v>85.887096774193552</v>
      </c>
      <c r="G131">
        <v>0.77802440000000006</v>
      </c>
    </row>
    <row r="132" spans="1:7" x14ac:dyDescent="0.2">
      <c r="A132">
        <v>108</v>
      </c>
      <c r="B132">
        <v>0.72149000875566272</v>
      </c>
      <c r="C132">
        <v>5.325599124433722E-2</v>
      </c>
      <c r="D132">
        <v>1.4873963536650101</v>
      </c>
      <c r="F132">
        <v>86.693548387096769</v>
      </c>
      <c r="G132">
        <v>0.77927189999999991</v>
      </c>
    </row>
    <row r="133" spans="1:7" x14ac:dyDescent="0.2">
      <c r="A133">
        <v>109</v>
      </c>
      <c r="B133">
        <v>0.72140664221746476</v>
      </c>
      <c r="C133">
        <v>5.6323457782535225E-2</v>
      </c>
      <c r="D133">
        <v>1.5730681895899548</v>
      </c>
      <c r="F133">
        <v>87.5</v>
      </c>
      <c r="G133">
        <v>0.77927740000000001</v>
      </c>
    </row>
    <row r="134" spans="1:7" x14ac:dyDescent="0.2">
      <c r="A134">
        <v>110</v>
      </c>
      <c r="B134">
        <v>0.72117309795957696</v>
      </c>
      <c r="C134">
        <v>5.6851302040423102E-2</v>
      </c>
      <c r="D134">
        <v>1.5878104487450488</v>
      </c>
      <c r="F134">
        <v>88.306451612903217</v>
      </c>
      <c r="G134">
        <v>0.78006310000000001</v>
      </c>
    </row>
    <row r="135" spans="1:7" x14ac:dyDescent="0.2">
      <c r="A135">
        <v>111</v>
      </c>
      <c r="B135">
        <v>0.72100823965204353</v>
      </c>
      <c r="C135">
        <v>5.9054860347956484E-2</v>
      </c>
      <c r="D135">
        <v>1.6493540331405772</v>
      </c>
      <c r="F135">
        <v>89.112903225806448</v>
      </c>
      <c r="G135">
        <v>0.78067369999999991</v>
      </c>
    </row>
    <row r="136" spans="1:7" x14ac:dyDescent="0.2">
      <c r="A136">
        <v>112</v>
      </c>
      <c r="B136">
        <v>0.72102320957230592</v>
      </c>
      <c r="C136">
        <v>5.8254190427694086E-2</v>
      </c>
      <c r="D136">
        <v>1.6269919759886662</v>
      </c>
      <c r="F136">
        <v>89.91935483870968</v>
      </c>
      <c r="G136">
        <v>0.78097210000000006</v>
      </c>
    </row>
    <row r="137" spans="1:7" x14ac:dyDescent="0.2">
      <c r="A137">
        <v>113</v>
      </c>
      <c r="B137">
        <v>0.72160633925037543</v>
      </c>
      <c r="C137">
        <v>5.9403560749624496E-2</v>
      </c>
      <c r="D137">
        <v>1.6590929506565981</v>
      </c>
      <c r="F137">
        <v>90.725806451612897</v>
      </c>
      <c r="G137">
        <v>0.78100989999999992</v>
      </c>
    </row>
    <row r="138" spans="1:7" x14ac:dyDescent="0.2">
      <c r="A138">
        <v>114</v>
      </c>
      <c r="B138">
        <v>0.72219264832573637</v>
      </c>
      <c r="C138">
        <v>6.3243651674263601E-2</v>
      </c>
      <c r="D138">
        <v>1.7663435548720936</v>
      </c>
      <c r="F138">
        <v>91.532258064516128</v>
      </c>
      <c r="G138">
        <v>0.78543629999999998</v>
      </c>
    </row>
    <row r="139" spans="1:7" x14ac:dyDescent="0.2">
      <c r="A139">
        <v>115</v>
      </c>
      <c r="B139">
        <v>0.72277596246655429</v>
      </c>
      <c r="C139">
        <v>6.3309737533445709E-2</v>
      </c>
      <c r="D139">
        <v>1.7681892789620894</v>
      </c>
      <c r="F139">
        <v>92.338709677419345</v>
      </c>
      <c r="G139">
        <v>0.78549099999999994</v>
      </c>
    </row>
    <row r="140" spans="1:7" x14ac:dyDescent="0.2">
      <c r="A140">
        <v>116</v>
      </c>
      <c r="B140">
        <v>0.72314378082737385</v>
      </c>
      <c r="C140">
        <v>6.2347219172626089E-2</v>
      </c>
      <c r="D140">
        <v>1.7413069270094168</v>
      </c>
      <c r="F140">
        <v>93.145161290322577</v>
      </c>
      <c r="G140">
        <v>0.7860857</v>
      </c>
    </row>
    <row r="141" spans="1:7" x14ac:dyDescent="0.2">
      <c r="A141">
        <v>117</v>
      </c>
      <c r="B141">
        <v>0.72349086579677291</v>
      </c>
      <c r="C141">
        <v>6.292213420322712E-2</v>
      </c>
      <c r="D141">
        <v>1.7573638344146303</v>
      </c>
      <c r="F141">
        <v>93.951612903225808</v>
      </c>
      <c r="G141">
        <v>0.78641300000000003</v>
      </c>
    </row>
    <row r="142" spans="1:7" x14ac:dyDescent="0.2">
      <c r="A142">
        <v>118</v>
      </c>
      <c r="B142">
        <v>0.72371140841006709</v>
      </c>
      <c r="C142">
        <v>6.5240191589932994E-2</v>
      </c>
      <c r="D142">
        <v>1.8221052846066625</v>
      </c>
      <c r="F142">
        <v>94.758064516129025</v>
      </c>
      <c r="G142">
        <v>0.78895160000000009</v>
      </c>
    </row>
    <row r="143" spans="1:7" x14ac:dyDescent="0.2">
      <c r="A143">
        <v>119</v>
      </c>
      <c r="B143">
        <v>0.72419718027313107</v>
      </c>
      <c r="C143">
        <v>6.5959319726868859E-2</v>
      </c>
      <c r="D143">
        <v>1.8421899463264846</v>
      </c>
      <c r="F143">
        <v>95.564516129032256</v>
      </c>
      <c r="G143">
        <v>0.79015649999999993</v>
      </c>
    </row>
    <row r="144" spans="1:7" x14ac:dyDescent="0.2">
      <c r="A144">
        <v>120</v>
      </c>
      <c r="B144">
        <v>0.72462146777313508</v>
      </c>
      <c r="C144">
        <v>6.7442532226864915E-2</v>
      </c>
      <c r="D144">
        <v>1.8836148604564806</v>
      </c>
      <c r="F144">
        <v>96.370967741935488</v>
      </c>
      <c r="G144">
        <v>0.79148229999999997</v>
      </c>
    </row>
    <row r="145" spans="1:7" x14ac:dyDescent="0.2">
      <c r="A145">
        <v>121</v>
      </c>
      <c r="B145">
        <v>0.72479338271300797</v>
      </c>
      <c r="C145">
        <v>6.6688917286992E-2</v>
      </c>
      <c r="D145">
        <v>1.8625670104879828</v>
      </c>
      <c r="F145">
        <v>97.177419354838705</v>
      </c>
      <c r="G145">
        <v>0.79206399999999999</v>
      </c>
    </row>
    <row r="146" spans="1:7" x14ac:dyDescent="0.2">
      <c r="A146">
        <v>122</v>
      </c>
      <c r="B146">
        <v>0.72537585252539571</v>
      </c>
      <c r="C146">
        <v>6.7478247474604292E-2</v>
      </c>
      <c r="D146">
        <v>1.8846123581655001</v>
      </c>
      <c r="F146">
        <v>97.983870967741936</v>
      </c>
      <c r="G146">
        <v>0.79285410000000001</v>
      </c>
    </row>
    <row r="147" spans="1:7" x14ac:dyDescent="0.2">
      <c r="A147">
        <v>123</v>
      </c>
      <c r="B147">
        <v>0.72592762239360975</v>
      </c>
      <c r="C147">
        <v>6.942567760639029E-2</v>
      </c>
      <c r="D147">
        <v>1.9390024917327515</v>
      </c>
      <c r="F147">
        <v>98.790322580645153</v>
      </c>
      <c r="G147">
        <v>0.79535330000000004</v>
      </c>
    </row>
    <row r="148" spans="1:7" ht="17" thickBot="1" x14ac:dyDescent="0.25">
      <c r="A148" s="8">
        <v>124</v>
      </c>
      <c r="B148" s="8">
        <v>0.72614272508737199</v>
      </c>
      <c r="C148" s="8">
        <v>7.1637974912628022E-2</v>
      </c>
      <c r="D148" s="8">
        <v>2.0007901492269835</v>
      </c>
      <c r="F148" s="8">
        <v>99.596774193548384</v>
      </c>
      <c r="G148" s="8">
        <v>0.79778070000000001</v>
      </c>
    </row>
  </sheetData>
  <sortState xmlns:xlrd2="http://schemas.microsoft.com/office/spreadsheetml/2017/richdata2" ref="G25:G148">
    <sortCondition ref="G25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1438-C656-BC45-8F16-DF2FF4539586}">
  <dimension ref="A1:I143"/>
  <sheetViews>
    <sheetView workbookViewId="0">
      <selection activeCell="U2" sqref="U2"/>
    </sheetView>
  </sheetViews>
  <sheetFormatPr baseColWidth="10" defaultRowHeight="16" x14ac:dyDescent="0.2"/>
  <sheetData>
    <row r="1" spans="1:9" x14ac:dyDescent="0.2">
      <c r="A1" t="s">
        <v>10</v>
      </c>
    </row>
    <row r="2" spans="1:9" ht="17" thickBot="1" x14ac:dyDescent="0.25"/>
    <row r="3" spans="1:9" x14ac:dyDescent="0.2">
      <c r="A3" s="10" t="s">
        <v>11</v>
      </c>
      <c r="B3" s="10"/>
    </row>
    <row r="4" spans="1:9" x14ac:dyDescent="0.2">
      <c r="A4" t="s">
        <v>12</v>
      </c>
      <c r="B4">
        <v>0.7550903003700683</v>
      </c>
    </row>
    <row r="5" spans="1:9" x14ac:dyDescent="0.2">
      <c r="A5" t="s">
        <v>13</v>
      </c>
      <c r="B5">
        <v>0.57016136171295995</v>
      </c>
    </row>
    <row r="6" spans="1:9" x14ac:dyDescent="0.2">
      <c r="A6" t="s">
        <v>14</v>
      </c>
      <c r="B6">
        <v>0.56648752719768614</v>
      </c>
    </row>
    <row r="7" spans="1:9" x14ac:dyDescent="0.2">
      <c r="A7" t="s">
        <v>15</v>
      </c>
      <c r="B7">
        <v>3.4553991011267667E-2</v>
      </c>
    </row>
    <row r="8" spans="1:9" ht="17" thickBot="1" x14ac:dyDescent="0.25">
      <c r="A8" s="8" t="s">
        <v>16</v>
      </c>
      <c r="B8" s="8">
        <v>119</v>
      </c>
    </row>
    <row r="10" spans="1:9" ht="17" thickBot="1" x14ac:dyDescent="0.25">
      <c r="A10" t="s">
        <v>17</v>
      </c>
    </row>
    <row r="11" spans="1:9" x14ac:dyDescent="0.2">
      <c r="A11" s="9"/>
      <c r="B11" s="9" t="s">
        <v>22</v>
      </c>
      <c r="C11" s="9" t="s">
        <v>23</v>
      </c>
      <c r="D11" s="9" t="s">
        <v>24</v>
      </c>
      <c r="E11" s="9" t="s">
        <v>25</v>
      </c>
      <c r="F11" s="9" t="s">
        <v>26</v>
      </c>
    </row>
    <row r="12" spans="1:9" x14ac:dyDescent="0.2">
      <c r="A12" t="s">
        <v>18</v>
      </c>
      <c r="B12">
        <v>1</v>
      </c>
      <c r="C12">
        <v>0.18529966104692669</v>
      </c>
      <c r="D12">
        <v>0.18529966104692669</v>
      </c>
      <c r="E12">
        <v>155.19516715914472</v>
      </c>
      <c r="F12">
        <v>3.4243593220143256E-23</v>
      </c>
    </row>
    <row r="13" spans="1:9" x14ac:dyDescent="0.2">
      <c r="A13" t="s">
        <v>19</v>
      </c>
      <c r="B13">
        <v>117</v>
      </c>
      <c r="C13">
        <v>0.13969546049239168</v>
      </c>
      <c r="D13">
        <v>1.1939782948067665E-3</v>
      </c>
    </row>
    <row r="14" spans="1:9" ht="17" thickBot="1" x14ac:dyDescent="0.25">
      <c r="A14" s="8" t="s">
        <v>20</v>
      </c>
      <c r="B14" s="8">
        <v>118</v>
      </c>
      <c r="C14" s="8">
        <v>0.32499512153931837</v>
      </c>
      <c r="D14" s="8"/>
      <c r="E14" s="8"/>
      <c r="F14" s="8"/>
    </row>
    <row r="15" spans="1:9" ht="17" thickBot="1" x14ac:dyDescent="0.25"/>
    <row r="16" spans="1:9" x14ac:dyDescent="0.2">
      <c r="A16" s="9"/>
      <c r="B16" s="9" t="s">
        <v>27</v>
      </c>
      <c r="C16" s="9" t="s">
        <v>15</v>
      </c>
      <c r="D16" s="9" t="s">
        <v>28</v>
      </c>
      <c r="E16" s="9" t="s">
        <v>29</v>
      </c>
      <c r="F16" s="9" t="s">
        <v>30</v>
      </c>
      <c r="G16" s="9" t="s">
        <v>31</v>
      </c>
      <c r="H16" s="9" t="s">
        <v>32</v>
      </c>
      <c r="I16" s="9" t="s">
        <v>33</v>
      </c>
    </row>
    <row r="17" spans="1:9" x14ac:dyDescent="0.2">
      <c r="A17" t="s">
        <v>21</v>
      </c>
      <c r="B17">
        <v>0.46604532521225345</v>
      </c>
      <c r="C17">
        <v>3.8163019093409904E-2</v>
      </c>
      <c r="D17">
        <v>12.211961639395858</v>
      </c>
      <c r="E17">
        <v>1.2898997722979712E-22</v>
      </c>
      <c r="F17">
        <v>0.39046546569020091</v>
      </c>
      <c r="G17">
        <v>0.54162518473430599</v>
      </c>
      <c r="H17">
        <v>0.39046546569020091</v>
      </c>
      <c r="I17">
        <v>0.54162518473430599</v>
      </c>
    </row>
    <row r="18" spans="1:9" ht="17" thickBot="1" x14ac:dyDescent="0.25">
      <c r="A18" s="8" t="s">
        <v>52</v>
      </c>
      <c r="B18" s="8">
        <v>2.2988388685742231</v>
      </c>
      <c r="C18" s="8">
        <v>0.18453104239282589</v>
      </c>
      <c r="D18" s="8">
        <v>12.457735233947805</v>
      </c>
      <c r="E18" s="8">
        <v>3.4243593220144243E-23</v>
      </c>
      <c r="F18" s="8">
        <v>1.9333848087848058</v>
      </c>
      <c r="G18" s="8">
        <v>2.6642929283636407</v>
      </c>
      <c r="H18" s="8">
        <v>1.9333848087848058</v>
      </c>
      <c r="I18" s="8">
        <v>2.6642929283636407</v>
      </c>
    </row>
    <row r="22" spans="1:9" x14ac:dyDescent="0.2">
      <c r="A22" t="s">
        <v>34</v>
      </c>
      <c r="F22" t="s">
        <v>38</v>
      </c>
    </row>
    <row r="23" spans="1:9" ht="17" thickBot="1" x14ac:dyDescent="0.25"/>
    <row r="24" spans="1:9" x14ac:dyDescent="0.2">
      <c r="A24" s="9" t="s">
        <v>35</v>
      </c>
      <c r="B24" s="9" t="s">
        <v>54</v>
      </c>
      <c r="C24" s="9" t="s">
        <v>36</v>
      </c>
      <c r="D24" s="9" t="s">
        <v>37</v>
      </c>
      <c r="F24" s="9" t="s">
        <v>39</v>
      </c>
      <c r="G24" s="9" t="s">
        <v>53</v>
      </c>
    </row>
    <row r="25" spans="1:9" x14ac:dyDescent="0.2">
      <c r="A25">
        <v>1</v>
      </c>
      <c r="B25">
        <v>0.86709755591339377</v>
      </c>
      <c r="C25">
        <v>-4.4263586697491863E-2</v>
      </c>
      <c r="D25">
        <v>-1.2864605086766356</v>
      </c>
      <c r="F25">
        <v>0.42016806722689076</v>
      </c>
      <c r="G25">
        <v>0.81646766514253599</v>
      </c>
    </row>
    <row r="26" spans="1:9" x14ac:dyDescent="0.2">
      <c r="A26">
        <v>2</v>
      </c>
      <c r="B26">
        <v>0.86664762600704437</v>
      </c>
      <c r="C26">
        <v>-5.0179960864508377E-2</v>
      </c>
      <c r="D26">
        <v>-1.4584118187328687</v>
      </c>
      <c r="F26">
        <v>1.2605042016806722</v>
      </c>
      <c r="G26">
        <v>0.82283396921590191</v>
      </c>
    </row>
    <row r="27" spans="1:9" x14ac:dyDescent="0.2">
      <c r="A27">
        <v>3</v>
      </c>
      <c r="B27">
        <v>0.86644817409918984</v>
      </c>
      <c r="C27">
        <v>-3.7663941514287869E-2</v>
      </c>
      <c r="D27">
        <v>-1.094650862578729</v>
      </c>
      <c r="F27">
        <v>2.1008403361344539</v>
      </c>
      <c r="G27">
        <v>0.82484106053013306</v>
      </c>
    </row>
    <row r="28" spans="1:9" x14ac:dyDescent="0.2">
      <c r="A28">
        <v>4</v>
      </c>
      <c r="B28">
        <v>0.86777378342220779</v>
      </c>
      <c r="C28">
        <v>-4.2932722892074726E-2</v>
      </c>
      <c r="D28">
        <v>-1.2477807753826036</v>
      </c>
      <c r="F28">
        <v>2.9411764705882351</v>
      </c>
      <c r="G28">
        <v>0.82878423258490197</v>
      </c>
    </row>
    <row r="29" spans="1:9" x14ac:dyDescent="0.2">
      <c r="A29">
        <v>5</v>
      </c>
      <c r="B29">
        <v>0.86924853417206427</v>
      </c>
      <c r="C29">
        <v>-3.6363290448840235E-2</v>
      </c>
      <c r="D29">
        <v>-1.0568492211821141</v>
      </c>
      <c r="F29">
        <v>3.7815126050420167</v>
      </c>
      <c r="G29">
        <v>0.83288524372322403</v>
      </c>
    </row>
    <row r="30" spans="1:9" x14ac:dyDescent="0.2">
      <c r="A30">
        <v>6</v>
      </c>
      <c r="B30">
        <v>0.87065293002738442</v>
      </c>
      <c r="C30">
        <v>-2.9406363889598497E-2</v>
      </c>
      <c r="D30">
        <v>-0.85465568134555903</v>
      </c>
      <c r="F30">
        <v>4.6218487394957988</v>
      </c>
      <c r="G30">
        <v>0.84124656613778592</v>
      </c>
    </row>
    <row r="31" spans="1:9" x14ac:dyDescent="0.2">
      <c r="A31">
        <v>7</v>
      </c>
      <c r="B31">
        <v>0.87188186713059856</v>
      </c>
      <c r="C31">
        <v>-2.2612321172773564E-2</v>
      </c>
      <c r="D31">
        <v>-0.6571961372469185</v>
      </c>
      <c r="F31">
        <v>5.46218487394958</v>
      </c>
      <c r="G31">
        <v>0.849269545957825</v>
      </c>
    </row>
    <row r="32" spans="1:9" x14ac:dyDescent="0.2">
      <c r="A32">
        <v>8</v>
      </c>
      <c r="B32">
        <v>0.87291164404405364</v>
      </c>
      <c r="C32">
        <v>-1.9052280025041557E-2</v>
      </c>
      <c r="D32">
        <v>-0.55372841834919562</v>
      </c>
      <c r="F32">
        <v>6.302521008403362</v>
      </c>
      <c r="G32">
        <v>0.85385936401901208</v>
      </c>
    </row>
    <row r="33" spans="1:7" x14ac:dyDescent="0.2">
      <c r="A33">
        <v>9</v>
      </c>
      <c r="B33">
        <v>0.87453370506483097</v>
      </c>
      <c r="C33">
        <v>-1.4081778188167915E-2</v>
      </c>
      <c r="D33">
        <v>-0.4092675917753531</v>
      </c>
      <c r="F33">
        <v>7.1428571428571432</v>
      </c>
      <c r="G33">
        <v>0.85585732731279196</v>
      </c>
    </row>
    <row r="34" spans="1:7" x14ac:dyDescent="0.2">
      <c r="A34">
        <v>10</v>
      </c>
      <c r="B34">
        <v>0.87669173595559213</v>
      </c>
      <c r="C34">
        <v>-8.439787583226166E-3</v>
      </c>
      <c r="D34">
        <v>-0.2452908640603928</v>
      </c>
      <c r="F34">
        <v>7.9831932773109244</v>
      </c>
      <c r="G34">
        <v>0.856501749851455</v>
      </c>
    </row>
    <row r="35" spans="1:7" x14ac:dyDescent="0.2">
      <c r="A35">
        <v>11</v>
      </c>
      <c r="B35">
        <v>0.87927299865810915</v>
      </c>
      <c r="C35">
        <v>-1.4865294206464097E-2</v>
      </c>
      <c r="D35">
        <v>-0.43203941147316155</v>
      </c>
      <c r="F35">
        <v>8.8235294117647065</v>
      </c>
      <c r="G35">
        <v>0.86021850226318508</v>
      </c>
    </row>
    <row r="36" spans="1:7" x14ac:dyDescent="0.2">
      <c r="A36">
        <v>12</v>
      </c>
      <c r="B36">
        <v>0.88232563013485366</v>
      </c>
      <c r="C36">
        <v>-7.3430721108836972E-3</v>
      </c>
      <c r="D36">
        <v>-0.21341633129680238</v>
      </c>
      <c r="F36">
        <v>9.6638655462184886</v>
      </c>
      <c r="G36">
        <v>0.86035971530948696</v>
      </c>
    </row>
    <row r="37" spans="1:7" x14ac:dyDescent="0.2">
      <c r="A37">
        <v>13</v>
      </c>
      <c r="B37">
        <v>0.88585096920254047</v>
      </c>
      <c r="C37">
        <v>-1.4713580275086402E-2</v>
      </c>
      <c r="D37">
        <v>-0.42763005389743353</v>
      </c>
      <c r="F37">
        <v>10.504201680672269</v>
      </c>
      <c r="G37">
        <v>0.86045192687666305</v>
      </c>
    </row>
    <row r="38" spans="1:7" x14ac:dyDescent="0.2">
      <c r="A38">
        <v>14</v>
      </c>
      <c r="B38">
        <v>0.88737169862348841</v>
      </c>
      <c r="C38">
        <v>-2.4979418731021386E-2</v>
      </c>
      <c r="D38">
        <v>-0.72599258498356944</v>
      </c>
      <c r="F38">
        <v>11.344537815126051</v>
      </c>
      <c r="G38">
        <v>0.86239227989246703</v>
      </c>
    </row>
    <row r="39" spans="1:7" x14ac:dyDescent="0.2">
      <c r="A39">
        <v>15</v>
      </c>
      <c r="B39">
        <v>0.88969845452115393</v>
      </c>
      <c r="C39">
        <v>-2.4551961979281889E-2</v>
      </c>
      <c r="D39">
        <v>-0.71356914008656525</v>
      </c>
      <c r="F39">
        <v>12.184873949579833</v>
      </c>
      <c r="G39">
        <v>0.86432462185674697</v>
      </c>
    </row>
    <row r="40" spans="1:7" x14ac:dyDescent="0.2">
      <c r="A40">
        <v>16</v>
      </c>
      <c r="B40">
        <v>0.89042389298951741</v>
      </c>
      <c r="C40">
        <v>-2.3526860286297469E-2</v>
      </c>
      <c r="D40">
        <v>-0.6837759637130667</v>
      </c>
      <c r="F40">
        <v>13.025210084033613</v>
      </c>
      <c r="G40">
        <v>0.86440770445164505</v>
      </c>
    </row>
    <row r="41" spans="1:7" x14ac:dyDescent="0.2">
      <c r="A41">
        <v>17</v>
      </c>
      <c r="B41">
        <v>0.89148285334473343</v>
      </c>
      <c r="C41">
        <v>-3.4981103493278431E-2</v>
      </c>
      <c r="D41">
        <v>-1.0166778508390277</v>
      </c>
      <c r="F41">
        <v>13.865546218487395</v>
      </c>
      <c r="G41">
        <v>0.86514649254187204</v>
      </c>
    </row>
    <row r="42" spans="1:7" x14ac:dyDescent="0.2">
      <c r="A42">
        <v>18</v>
      </c>
      <c r="B42">
        <v>0.89264793327020742</v>
      </c>
      <c r="C42">
        <v>-3.6790605957415456E-2</v>
      </c>
      <c r="D42">
        <v>-1.0692685610400439</v>
      </c>
      <c r="F42">
        <v>14.705882352941178</v>
      </c>
      <c r="G42">
        <v>0.86689703270321994</v>
      </c>
    </row>
    <row r="43" spans="1:7" x14ac:dyDescent="0.2">
      <c r="A43">
        <v>19</v>
      </c>
      <c r="B43">
        <v>0.89526119103488511</v>
      </c>
      <c r="C43">
        <v>-3.5042688771700026E-2</v>
      </c>
      <c r="D43">
        <v>-1.0184677425878979</v>
      </c>
      <c r="F43">
        <v>15.546218487394958</v>
      </c>
      <c r="G43">
        <v>0.86813605297110696</v>
      </c>
    </row>
    <row r="44" spans="1:7" x14ac:dyDescent="0.2">
      <c r="A44">
        <v>20</v>
      </c>
      <c r="B44">
        <v>0.89716235446030601</v>
      </c>
      <c r="C44">
        <v>-2.726758227886994E-2</v>
      </c>
      <c r="D44">
        <v>-0.79249492384323039</v>
      </c>
      <c r="F44">
        <v>16.386554621848738</v>
      </c>
      <c r="G44">
        <v>0.86825194837236597</v>
      </c>
    </row>
    <row r="45" spans="1:7" x14ac:dyDescent="0.2">
      <c r="A45">
        <v>21</v>
      </c>
      <c r="B45">
        <v>0.89944498701294007</v>
      </c>
      <c r="C45">
        <v>-3.9085271703453106E-2</v>
      </c>
      <c r="D45">
        <v>-1.135959877382416</v>
      </c>
      <c r="F45">
        <v>17.22689075630252</v>
      </c>
      <c r="G45">
        <v>0.86884078088575389</v>
      </c>
    </row>
    <row r="46" spans="1:7" x14ac:dyDescent="0.2">
      <c r="A46">
        <v>22</v>
      </c>
      <c r="B46">
        <v>0.90274693556715002</v>
      </c>
      <c r="C46">
        <v>-3.8422313710403055E-2</v>
      </c>
      <c r="D46">
        <v>-1.1166919115305043</v>
      </c>
      <c r="F46">
        <v>18.067226890756302</v>
      </c>
      <c r="G46">
        <v>0.86989477218143607</v>
      </c>
    </row>
    <row r="47" spans="1:7" x14ac:dyDescent="0.2">
      <c r="A47">
        <v>23</v>
      </c>
      <c r="B47">
        <v>0.90417371520956358</v>
      </c>
      <c r="C47">
        <v>-3.6037662238456614E-2</v>
      </c>
      <c r="D47">
        <v>-1.0473852833401018</v>
      </c>
      <c r="F47">
        <v>18.907563025210084</v>
      </c>
      <c r="G47">
        <v>0.87113738892745407</v>
      </c>
    </row>
    <row r="48" spans="1:7" x14ac:dyDescent="0.2">
      <c r="A48">
        <v>24</v>
      </c>
      <c r="B48">
        <v>0.90492147758221186</v>
      </c>
      <c r="C48">
        <v>-3.608069669645797E-2</v>
      </c>
      <c r="D48">
        <v>-1.0486360209070642</v>
      </c>
      <c r="F48">
        <v>19.747899159663863</v>
      </c>
      <c r="G48">
        <v>0.87498255802396996</v>
      </c>
    </row>
    <row r="49" spans="1:7" x14ac:dyDescent="0.2">
      <c r="A49">
        <v>25</v>
      </c>
      <c r="B49">
        <v>0.90304104672976848</v>
      </c>
      <c r="C49">
        <v>-1.527305511516841E-2</v>
      </c>
      <c r="D49">
        <v>-0.44389042367457276</v>
      </c>
      <c r="F49">
        <v>20.588235294117645</v>
      </c>
      <c r="G49">
        <v>0.88776799161460007</v>
      </c>
    </row>
    <row r="50" spans="1:7" x14ac:dyDescent="0.2">
      <c r="A50">
        <v>26</v>
      </c>
      <c r="B50">
        <v>0.90360690870122728</v>
      </c>
      <c r="C50">
        <v>-1.2866242543399298E-2</v>
      </c>
      <c r="D50">
        <v>-0.37393971347731575</v>
      </c>
      <c r="F50">
        <v>21.428571428571427</v>
      </c>
      <c r="G50">
        <v>0.89064002901849093</v>
      </c>
    </row>
    <row r="51" spans="1:7" x14ac:dyDescent="0.2">
      <c r="A51">
        <v>27</v>
      </c>
      <c r="B51">
        <v>0.90276798185060969</v>
      </c>
      <c r="C51">
        <v>-1.212795283211876E-2</v>
      </c>
      <c r="D51">
        <v>-0.35248233443535698</v>
      </c>
      <c r="F51">
        <v>22.268907563025209</v>
      </c>
      <c r="G51">
        <v>0.89074066615782799</v>
      </c>
    </row>
    <row r="52" spans="1:7" x14ac:dyDescent="0.2">
      <c r="A52">
        <v>28</v>
      </c>
      <c r="B52">
        <v>0.90073294019691419</v>
      </c>
      <c r="C52">
        <v>-5.3460549960622217E-3</v>
      </c>
      <c r="D52">
        <v>-0.15537576465842926</v>
      </c>
      <c r="F52">
        <v>23.109243697478991</v>
      </c>
      <c r="G52">
        <v>0.89415863580673105</v>
      </c>
    </row>
    <row r="53" spans="1:7" x14ac:dyDescent="0.2">
      <c r="A53">
        <v>29</v>
      </c>
      <c r="B53">
        <v>0.89651379591116864</v>
      </c>
      <c r="C53">
        <v>7.3750274791373194E-3</v>
      </c>
      <c r="D53">
        <v>0.2143450702979921</v>
      </c>
      <c r="F53">
        <v>23.949579831932773</v>
      </c>
      <c r="G53">
        <v>0.89538688520085197</v>
      </c>
    </row>
    <row r="54" spans="1:7" x14ac:dyDescent="0.2">
      <c r="A54">
        <v>30</v>
      </c>
      <c r="B54">
        <v>0.89522804223114416</v>
      </c>
      <c r="C54">
        <v>7.4051196247937323E-3</v>
      </c>
      <c r="D54">
        <v>0.21521965728690673</v>
      </c>
      <c r="F54">
        <v>24.789915966386552</v>
      </c>
      <c r="G54">
        <v>0.89643749655903404</v>
      </c>
    </row>
    <row r="55" spans="1:7" x14ac:dyDescent="0.2">
      <c r="A55">
        <v>31</v>
      </c>
      <c r="B55">
        <v>0.89630158048210973</v>
      </c>
      <c r="C55">
        <v>5.8451878124932133E-4</v>
      </c>
      <c r="D55">
        <v>1.698823761834144E-2</v>
      </c>
      <c r="F55">
        <v>25.630252100840334</v>
      </c>
      <c r="G55">
        <v>0.89688609926335905</v>
      </c>
    </row>
    <row r="56" spans="1:7" x14ac:dyDescent="0.2">
      <c r="A56">
        <v>32</v>
      </c>
      <c r="B56">
        <v>0.8991216978580101</v>
      </c>
      <c r="C56">
        <v>-4.9630620512790546E-3</v>
      </c>
      <c r="D56">
        <v>-0.14424459939763409</v>
      </c>
      <c r="F56">
        <v>26.470588235294116</v>
      </c>
      <c r="G56">
        <v>0.89898911284213001</v>
      </c>
    </row>
    <row r="57" spans="1:7" x14ac:dyDescent="0.2">
      <c r="A57">
        <v>33</v>
      </c>
      <c r="B57">
        <v>0.90478824030417293</v>
      </c>
      <c r="C57">
        <v>-5.799127462042919E-3</v>
      </c>
      <c r="D57">
        <v>-0.16854369519773035</v>
      </c>
      <c r="F57">
        <v>27.310924369747898</v>
      </c>
      <c r="G57">
        <v>0.90105221822054105</v>
      </c>
    </row>
    <row r="58" spans="1:7" x14ac:dyDescent="0.2">
      <c r="A58">
        <v>34</v>
      </c>
      <c r="B58">
        <v>0.90916566017978118</v>
      </c>
      <c r="C58">
        <v>3.409915259292795E-3</v>
      </c>
      <c r="D58">
        <v>9.9104515614470048E-2</v>
      </c>
      <c r="F58">
        <v>28.15126050420168</v>
      </c>
      <c r="G58">
        <v>0.90263316185593789</v>
      </c>
    </row>
    <row r="59" spans="1:7" x14ac:dyDescent="0.2">
      <c r="A59">
        <v>35</v>
      </c>
      <c r="B59">
        <v>0.91422511449796251</v>
      </c>
      <c r="C59">
        <v>5.4278729808143744E-4</v>
      </c>
      <c r="D59">
        <v>1.5775369229909908E-2</v>
      </c>
      <c r="F59">
        <v>28.991596638655462</v>
      </c>
      <c r="G59">
        <v>0.90388882339030596</v>
      </c>
    </row>
    <row r="60" spans="1:7" x14ac:dyDescent="0.2">
      <c r="A60">
        <v>36</v>
      </c>
      <c r="B60">
        <v>0.91847863162361176</v>
      </c>
      <c r="C60">
        <v>-7.6176339000977311E-4</v>
      </c>
      <c r="D60">
        <v>-2.2139609356571648E-2</v>
      </c>
      <c r="F60">
        <v>29.831932773109244</v>
      </c>
      <c r="G60">
        <v>0.91257557543907397</v>
      </c>
    </row>
    <row r="61" spans="1:7" x14ac:dyDescent="0.2">
      <c r="A61">
        <v>37</v>
      </c>
      <c r="B61">
        <v>0.92387727600014147</v>
      </c>
      <c r="C61">
        <v>-4.181572863059424E-3</v>
      </c>
      <c r="D61">
        <v>-0.12153168673935455</v>
      </c>
      <c r="F61">
        <v>30.672268907563023</v>
      </c>
      <c r="G61">
        <v>0.91476790179604395</v>
      </c>
    </row>
    <row r="62" spans="1:7" x14ac:dyDescent="0.2">
      <c r="A62">
        <v>38</v>
      </c>
      <c r="B62">
        <v>0.92941807023081935</v>
      </c>
      <c r="C62">
        <v>-5.0629071860133212E-3</v>
      </c>
      <c r="D62">
        <v>-0.14714646145632737</v>
      </c>
      <c r="F62">
        <v>31.512605042016805</v>
      </c>
      <c r="G62">
        <v>0.91771686823360199</v>
      </c>
    </row>
    <row r="63" spans="1:7" x14ac:dyDescent="0.2">
      <c r="A63">
        <v>39</v>
      </c>
      <c r="B63">
        <v>0.93472010334802758</v>
      </c>
      <c r="C63">
        <v>-6.990951722197547E-3</v>
      </c>
      <c r="D63">
        <v>-0.2031824345852585</v>
      </c>
      <c r="F63">
        <v>32.352941176470587</v>
      </c>
      <c r="G63">
        <v>0.91969570313708204</v>
      </c>
    </row>
    <row r="64" spans="1:7" x14ac:dyDescent="0.2">
      <c r="A64">
        <v>40</v>
      </c>
      <c r="B64">
        <v>0.94084799566984667</v>
      </c>
      <c r="C64">
        <v>-2.8952912383116702E-3</v>
      </c>
      <c r="D64">
        <v>-8.4147673451335822E-2</v>
      </c>
      <c r="F64">
        <v>33.193277310924366</v>
      </c>
      <c r="G64">
        <v>0.92435516304480603</v>
      </c>
    </row>
    <row r="65" spans="1:7" x14ac:dyDescent="0.2">
      <c r="A65">
        <v>41</v>
      </c>
      <c r="B65">
        <v>0.9465858676350718</v>
      </c>
      <c r="C65">
        <v>-3.2010097018858596E-3</v>
      </c>
      <c r="D65">
        <v>-9.3032961777592876E-2</v>
      </c>
      <c r="F65">
        <v>34.033613445378151</v>
      </c>
      <c r="G65">
        <v>0.92705855384604208</v>
      </c>
    </row>
    <row r="66" spans="1:7" x14ac:dyDescent="0.2">
      <c r="A66">
        <v>42</v>
      </c>
      <c r="B66">
        <v>0.95325988787814619</v>
      </c>
      <c r="C66">
        <v>-1.0417862565509139E-2</v>
      </c>
      <c r="D66">
        <v>-0.30278090356621695</v>
      </c>
      <c r="F66">
        <v>34.87394957983193</v>
      </c>
      <c r="G66">
        <v>0.92772915162583003</v>
      </c>
    </row>
    <row r="67" spans="1:7" x14ac:dyDescent="0.2">
      <c r="A67">
        <v>43</v>
      </c>
      <c r="B67">
        <v>0.95887956540919528</v>
      </c>
      <c r="C67">
        <v>-1.071964390198521E-2</v>
      </c>
      <c r="D67">
        <v>-0.31155176468701534</v>
      </c>
      <c r="F67">
        <v>35.714285714285715</v>
      </c>
      <c r="G67">
        <v>0.92823489392970404</v>
      </c>
    </row>
    <row r="68" spans="1:7" x14ac:dyDescent="0.2">
      <c r="A68">
        <v>44</v>
      </c>
      <c r="B68">
        <v>0.96466481720705721</v>
      </c>
      <c r="C68">
        <v>-1.6995476828148171E-2</v>
      </c>
      <c r="D68">
        <v>-0.49395025113905566</v>
      </c>
      <c r="F68">
        <v>36.554621848739494</v>
      </c>
      <c r="G68">
        <v>0.937952704431535</v>
      </c>
    </row>
    <row r="69" spans="1:7" x14ac:dyDescent="0.2">
      <c r="A69">
        <v>45</v>
      </c>
      <c r="B69">
        <v>0.9676086790985905</v>
      </c>
      <c r="C69">
        <v>-1.7001548158257496E-2</v>
      </c>
      <c r="D69">
        <v>-0.49412670603129399</v>
      </c>
      <c r="F69">
        <v>37.394957983193279</v>
      </c>
      <c r="G69">
        <v>0.94128908632976405</v>
      </c>
    </row>
    <row r="70" spans="1:7" x14ac:dyDescent="0.2">
      <c r="A70">
        <v>46</v>
      </c>
      <c r="B70">
        <v>0.97111148236757217</v>
      </c>
      <c r="C70">
        <v>-1.5636736007904273E-2</v>
      </c>
      <c r="D70">
        <v>-0.45446031059906505</v>
      </c>
      <c r="F70">
        <v>38.235294117647058</v>
      </c>
      <c r="G70">
        <v>0.94175943494850201</v>
      </c>
    </row>
    <row r="71" spans="1:7" x14ac:dyDescent="0.2">
      <c r="A71">
        <v>47</v>
      </c>
      <c r="B71">
        <v>0.97408256288847772</v>
      </c>
      <c r="C71">
        <v>-1.2018060608834702E-2</v>
      </c>
      <c r="D71">
        <v>-0.34928846751192422</v>
      </c>
      <c r="F71">
        <v>39.075630252100837</v>
      </c>
      <c r="G71">
        <v>0.94284202531263706</v>
      </c>
    </row>
    <row r="72" spans="1:7" x14ac:dyDescent="0.2">
      <c r="A72">
        <v>48</v>
      </c>
      <c r="B72">
        <v>0.97764928291945541</v>
      </c>
      <c r="C72">
        <v>-1.1298563013559471E-2</v>
      </c>
      <c r="D72">
        <v>-0.32837725557749148</v>
      </c>
      <c r="F72">
        <v>39.915966386554622</v>
      </c>
      <c r="G72">
        <v>0.94338485793318594</v>
      </c>
    </row>
    <row r="73" spans="1:7" x14ac:dyDescent="0.2">
      <c r="A73">
        <v>49</v>
      </c>
      <c r="B73">
        <v>0.97899156621771888</v>
      </c>
      <c r="C73">
        <v>-1.374033969484989E-2</v>
      </c>
      <c r="D73">
        <v>-0.399344149719073</v>
      </c>
      <c r="F73">
        <v>40.756302521008401</v>
      </c>
      <c r="G73">
        <v>0.94381212734008002</v>
      </c>
    </row>
    <row r="74" spans="1:7" x14ac:dyDescent="0.2">
      <c r="A74">
        <v>50</v>
      </c>
      <c r="B74">
        <v>0.98071803816824454</v>
      </c>
      <c r="C74">
        <v>-1.3597522981485533E-2</v>
      </c>
      <c r="D74">
        <v>-0.39519337759620193</v>
      </c>
      <c r="F74">
        <v>41.596638655462186</v>
      </c>
      <c r="G74">
        <v>0.94766934037890904</v>
      </c>
    </row>
    <row r="75" spans="1:7" x14ac:dyDescent="0.2">
      <c r="A75">
        <v>51</v>
      </c>
      <c r="B75">
        <v>0.98198114336472608</v>
      </c>
      <c r="C75">
        <v>-2.0457744711977144E-2</v>
      </c>
      <c r="D75">
        <v>-0.59457632406544558</v>
      </c>
      <c r="F75">
        <v>42.436974789915965</v>
      </c>
      <c r="G75">
        <v>0.94815992150721007</v>
      </c>
    </row>
    <row r="76" spans="1:7" x14ac:dyDescent="0.2">
      <c r="A76">
        <v>52</v>
      </c>
      <c r="B76">
        <v>0.9838912273969842</v>
      </c>
      <c r="C76">
        <v>-1.1675969940427189E-2</v>
      </c>
      <c r="D76">
        <v>-0.33934607088011226</v>
      </c>
      <c r="F76">
        <v>43.27731092436975</v>
      </c>
      <c r="G76">
        <v>0.94893000804712002</v>
      </c>
    </row>
    <row r="77" spans="1:7" x14ac:dyDescent="0.2">
      <c r="A77">
        <v>53</v>
      </c>
      <c r="B77">
        <v>0.98763230750136466</v>
      </c>
      <c r="C77">
        <v>-8.1753131283586189E-3</v>
      </c>
      <c r="D77">
        <v>-0.23760427634516457</v>
      </c>
      <c r="F77">
        <v>44.117647058823529</v>
      </c>
      <c r="G77">
        <v>0.950607130940333</v>
      </c>
    </row>
    <row r="78" spans="1:7" x14ac:dyDescent="0.2">
      <c r="A78">
        <v>54</v>
      </c>
      <c r="B78">
        <v>0.98851922437040063</v>
      </c>
      <c r="C78">
        <v>-1.377264643680165E-2</v>
      </c>
      <c r="D78">
        <v>-0.4002831009154364</v>
      </c>
      <c r="F78">
        <v>44.957983193277308</v>
      </c>
      <c r="G78">
        <v>0.95069451817261297</v>
      </c>
    </row>
    <row r="79" spans="1:7" x14ac:dyDescent="0.2">
      <c r="A79">
        <v>55</v>
      </c>
      <c r="B79">
        <v>0.9900513437973677</v>
      </c>
      <c r="C79">
        <v>-1.8526242260766712E-2</v>
      </c>
      <c r="D79">
        <v>-0.53843985137343175</v>
      </c>
      <c r="F79">
        <v>45.798319327731093</v>
      </c>
      <c r="G79">
        <v>0.95399922945682103</v>
      </c>
    </row>
    <row r="80" spans="1:7" x14ac:dyDescent="0.2">
      <c r="A80">
        <v>56</v>
      </c>
      <c r="B80">
        <v>0.99157997522598129</v>
      </c>
      <c r="C80">
        <v>-1.7656197912437332E-2</v>
      </c>
      <c r="D80">
        <v>-0.51315320430227451</v>
      </c>
      <c r="F80">
        <v>46.638655462184872</v>
      </c>
      <c r="G80">
        <v>0.95547474635966789</v>
      </c>
    </row>
    <row r="81" spans="1:7" x14ac:dyDescent="0.2">
      <c r="A81">
        <v>57</v>
      </c>
      <c r="B81">
        <v>0.99036226386486259</v>
      </c>
      <c r="C81">
        <v>-9.3586358866135644E-3</v>
      </c>
      <c r="D81">
        <v>-0.27199593122656973</v>
      </c>
      <c r="F81">
        <v>47.478991596638657</v>
      </c>
      <c r="G81">
        <v>0.95560972969858193</v>
      </c>
    </row>
    <row r="82" spans="1:7" x14ac:dyDescent="0.2">
      <c r="A82">
        <v>58</v>
      </c>
      <c r="B82">
        <v>0.99161966745565544</v>
      </c>
      <c r="C82">
        <v>-1.8043798597482508E-2</v>
      </c>
      <c r="D82">
        <v>-0.52441828722143358</v>
      </c>
      <c r="F82">
        <v>48.319327731092436</v>
      </c>
      <c r="G82">
        <v>0.95693728843344605</v>
      </c>
    </row>
    <row r="83" spans="1:7" x14ac:dyDescent="0.2">
      <c r="A83">
        <v>59</v>
      </c>
      <c r="B83">
        <v>0.99217341933867531</v>
      </c>
      <c r="C83">
        <v>-2.6604235974984403E-2</v>
      </c>
      <c r="D83">
        <v>-0.77321567226884969</v>
      </c>
      <c r="F83">
        <v>49.159663865546214</v>
      </c>
      <c r="G83">
        <v>0.95794996330079496</v>
      </c>
    </row>
    <row r="84" spans="1:7" x14ac:dyDescent="0.2">
      <c r="A84">
        <v>60</v>
      </c>
      <c r="B84">
        <v>0.99120197481160388</v>
      </c>
      <c r="C84">
        <v>-4.9442539863101875E-2</v>
      </c>
      <c r="D84">
        <v>-1.4369796875533138</v>
      </c>
      <c r="F84">
        <v>50</v>
      </c>
      <c r="G84">
        <v>0.95804732853499208</v>
      </c>
    </row>
    <row r="85" spans="1:7" x14ac:dyDescent="0.2">
      <c r="A85">
        <v>61</v>
      </c>
      <c r="B85">
        <v>0.98976682198026222</v>
      </c>
      <c r="C85">
        <v>-8.8714603759721178E-2</v>
      </c>
      <c r="D85">
        <v>-2.578368424135046</v>
      </c>
      <c r="F85">
        <v>50.840336134453779</v>
      </c>
      <c r="G85">
        <v>0.95853186032711202</v>
      </c>
    </row>
    <row r="86" spans="1:7" x14ac:dyDescent="0.2">
      <c r="A86">
        <v>62</v>
      </c>
      <c r="B86">
        <v>0.98971581220686788</v>
      </c>
      <c r="C86">
        <v>-6.2657258360825807E-2</v>
      </c>
      <c r="D86">
        <v>-1.8210473772501312</v>
      </c>
      <c r="F86">
        <v>51.680672268907564</v>
      </c>
      <c r="G86">
        <v>0.96152339865274894</v>
      </c>
    </row>
    <row r="87" spans="1:7" x14ac:dyDescent="0.2">
      <c r="A87">
        <v>63</v>
      </c>
      <c r="B87">
        <v>0.99038556049741322</v>
      </c>
      <c r="C87">
        <v>-6.2150666567709179E-2</v>
      </c>
      <c r="D87">
        <v>-1.8063239807861668</v>
      </c>
      <c r="F87">
        <v>52.521008403361343</v>
      </c>
      <c r="G87">
        <v>0.96206450227964302</v>
      </c>
    </row>
    <row r="88" spans="1:7" x14ac:dyDescent="0.2">
      <c r="A88">
        <v>64</v>
      </c>
      <c r="B88">
        <v>0.99062061653469735</v>
      </c>
      <c r="C88">
        <v>-4.9331530204933305E-2</v>
      </c>
      <c r="D88">
        <v>-1.4337533439157872</v>
      </c>
      <c r="F88">
        <v>53.361344537815128</v>
      </c>
      <c r="G88">
        <v>0.96329738326370307</v>
      </c>
    </row>
    <row r="89" spans="1:7" x14ac:dyDescent="0.2">
      <c r="A89">
        <v>65</v>
      </c>
      <c r="B89">
        <v>0.99172219465804323</v>
      </c>
      <c r="C89">
        <v>-4.2792186610923211E-2</v>
      </c>
      <c r="D89">
        <v>-1.2436962808979317</v>
      </c>
      <c r="F89">
        <v>54.201680672268907</v>
      </c>
      <c r="G89">
        <v>0.96428348502626204</v>
      </c>
    </row>
    <row r="90" spans="1:7" x14ac:dyDescent="0.2">
      <c r="A90">
        <v>66</v>
      </c>
      <c r="B90">
        <v>0.99327881077920654</v>
      </c>
      <c r="C90">
        <v>-2.9981427515503478E-2</v>
      </c>
      <c r="D90">
        <v>-0.87136911782686144</v>
      </c>
      <c r="F90">
        <v>55.042016806722685</v>
      </c>
      <c r="G90">
        <v>0.96489274089051602</v>
      </c>
    </row>
    <row r="91" spans="1:7" x14ac:dyDescent="0.2">
      <c r="A91">
        <v>67</v>
      </c>
      <c r="B91">
        <v>0.99558058361193069</v>
      </c>
      <c r="C91">
        <v>-1.8671495776483749E-2</v>
      </c>
      <c r="D91">
        <v>-0.54266144581839793</v>
      </c>
      <c r="F91">
        <v>55.882352941176471</v>
      </c>
      <c r="G91">
        <v>0.96525122652286899</v>
      </c>
    </row>
    <row r="92" spans="1:7" x14ac:dyDescent="0.2">
      <c r="A92">
        <v>68</v>
      </c>
      <c r="B92">
        <v>0.99630912202532107</v>
      </c>
      <c r="C92">
        <v>-2.613872913550519E-2</v>
      </c>
      <c r="D92">
        <v>-0.7596863536982239</v>
      </c>
      <c r="F92">
        <v>56.72268907563025</v>
      </c>
      <c r="G92">
        <v>0.96556918336369091</v>
      </c>
    </row>
    <row r="93" spans="1:7" x14ac:dyDescent="0.2">
      <c r="A93">
        <v>69</v>
      </c>
      <c r="B93">
        <v>0.99768942161209662</v>
      </c>
      <c r="C93">
        <v>-3.9642093077104534E-2</v>
      </c>
      <c r="D93">
        <v>-1.152143127792854</v>
      </c>
      <c r="F93">
        <v>57.563025210084035</v>
      </c>
      <c r="G93">
        <v>0.96635071990589594</v>
      </c>
    </row>
    <row r="94" spans="1:7" x14ac:dyDescent="0.2">
      <c r="A94">
        <v>70</v>
      </c>
      <c r="B94">
        <v>0.99921185706276683</v>
      </c>
      <c r="C94">
        <v>-4.5212627605945799E-2</v>
      </c>
      <c r="D94">
        <v>-1.3140430825468585</v>
      </c>
      <c r="F94">
        <v>58.403361344537814</v>
      </c>
      <c r="G94">
        <v>0.96712051518675901</v>
      </c>
    </row>
    <row r="95" spans="1:7" x14ac:dyDescent="0.2">
      <c r="A95">
        <v>71</v>
      </c>
      <c r="B95">
        <v>0.99973919525779831</v>
      </c>
      <c r="C95">
        <v>-2.2404430421944288E-2</v>
      </c>
      <c r="D95">
        <v>-0.65115407737299169</v>
      </c>
      <c r="F95">
        <v>59.243697478991599</v>
      </c>
      <c r="G95">
        <v>0.97017039288981588</v>
      </c>
    </row>
    <row r="96" spans="1:7" x14ac:dyDescent="0.2">
      <c r="A96">
        <v>72</v>
      </c>
      <c r="B96">
        <v>0.99852152505567959</v>
      </c>
      <c r="C96">
        <v>-2.4022275071817645E-2</v>
      </c>
      <c r="D96">
        <v>-0.6981745157631275</v>
      </c>
      <c r="F96">
        <v>60.084033613445378</v>
      </c>
      <c r="G96">
        <v>0.970871748005666</v>
      </c>
    </row>
    <row r="97" spans="1:7" x14ac:dyDescent="0.2">
      <c r="A97">
        <v>73</v>
      </c>
      <c r="B97">
        <v>0.99771798220166819</v>
      </c>
      <c r="C97">
        <v>-7.2838122338021449E-3</v>
      </c>
      <c r="D97">
        <v>-0.21169402415220831</v>
      </c>
      <c r="F97">
        <v>60.924369747899156</v>
      </c>
      <c r="G97">
        <v>0.97152510153660099</v>
      </c>
    </row>
    <row r="98" spans="1:7" x14ac:dyDescent="0.2">
      <c r="A98">
        <v>74</v>
      </c>
      <c r="B98">
        <v>0.99376988167393621</v>
      </c>
      <c r="C98">
        <v>-1.1715419609999222E-2</v>
      </c>
      <c r="D98">
        <v>-0.34049262148233989</v>
      </c>
      <c r="F98">
        <v>61.764705882352942</v>
      </c>
      <c r="G98">
        <v>0.97221525745655701</v>
      </c>
    </row>
    <row r="99" spans="1:7" x14ac:dyDescent="0.2">
      <c r="A99">
        <v>75</v>
      </c>
      <c r="B99">
        <v>0.98935021889614516</v>
      </c>
      <c r="C99">
        <v>-1.2388189017999096E-2</v>
      </c>
      <c r="D99">
        <v>-0.36004574266866796</v>
      </c>
      <c r="F99">
        <v>62.605042016806721</v>
      </c>
      <c r="G99">
        <v>0.97247899157151807</v>
      </c>
    </row>
    <row r="100" spans="1:7" x14ac:dyDescent="0.2">
      <c r="A100">
        <v>76</v>
      </c>
      <c r="B100">
        <v>0.98562020391094363</v>
      </c>
      <c r="C100">
        <v>-9.6477437768486274E-3</v>
      </c>
      <c r="D100">
        <v>-0.28039845599429947</v>
      </c>
      <c r="F100">
        <v>63.445378151260506</v>
      </c>
      <c r="G100">
        <v>0.97261759328058306</v>
      </c>
    </row>
    <row r="101" spans="1:7" x14ac:dyDescent="0.2">
      <c r="A101">
        <v>77</v>
      </c>
      <c r="B101">
        <v>0.98134052202655586</v>
      </c>
      <c r="C101">
        <v>4.982049631824137E-3</v>
      </c>
      <c r="D101">
        <v>0.14479644741423303</v>
      </c>
      <c r="F101">
        <v>64.285714285714292</v>
      </c>
      <c r="G101">
        <v>0.97357586885817293</v>
      </c>
    </row>
    <row r="102" spans="1:7" x14ac:dyDescent="0.2">
      <c r="A102">
        <v>78</v>
      </c>
      <c r="B102">
        <v>0.97697086531793209</v>
      </c>
      <c r="C102">
        <v>1.6023391241057894E-2</v>
      </c>
      <c r="D102">
        <v>0.46569791525421328</v>
      </c>
      <c r="F102">
        <v>65.12605042016807</v>
      </c>
      <c r="G102">
        <v>0.97392377731354396</v>
      </c>
    </row>
    <row r="103" spans="1:7" x14ac:dyDescent="0.2">
      <c r="A103">
        <v>79</v>
      </c>
      <c r="B103">
        <v>0.97439929373098244</v>
      </c>
      <c r="C103">
        <v>2.7127001592927691E-2</v>
      </c>
      <c r="D103">
        <v>0.78840913879414798</v>
      </c>
      <c r="F103">
        <v>65.966386554621849</v>
      </c>
      <c r="G103">
        <v>0.97429337219414291</v>
      </c>
    </row>
    <row r="104" spans="1:7" x14ac:dyDescent="0.2">
      <c r="A104">
        <v>80</v>
      </c>
      <c r="B104">
        <v>0.97039817446522747</v>
      </c>
      <c r="C104">
        <v>2.4649599719306581E-2</v>
      </c>
      <c r="D104">
        <v>0.71640684724203441</v>
      </c>
      <c r="F104">
        <v>66.806722689075642</v>
      </c>
      <c r="G104">
        <v>0.97449924998386195</v>
      </c>
    </row>
    <row r="105" spans="1:7" x14ac:dyDescent="0.2">
      <c r="A105">
        <v>81</v>
      </c>
      <c r="B105">
        <v>0.96641182551408833</v>
      </c>
      <c r="C105">
        <v>3.7616108991171737E-2</v>
      </c>
      <c r="D105">
        <v>1.0932606758222918</v>
      </c>
      <c r="F105">
        <v>67.64705882352942</v>
      </c>
      <c r="G105">
        <v>0.97474657793359898</v>
      </c>
    </row>
    <row r="106" spans="1:7" x14ac:dyDescent="0.2">
      <c r="A106">
        <v>82</v>
      </c>
      <c r="B106">
        <v>0.96467005731185984</v>
      </c>
      <c r="C106">
        <v>1.8351784554444195E-2</v>
      </c>
      <c r="D106">
        <v>0.53336947713665661</v>
      </c>
      <c r="F106">
        <v>68.487394957983199</v>
      </c>
      <c r="G106">
        <v>0.975972460134095</v>
      </c>
    </row>
    <row r="107" spans="1:7" x14ac:dyDescent="0.2">
      <c r="A107">
        <v>83</v>
      </c>
      <c r="B107">
        <v>0.95909283958611713</v>
      </c>
      <c r="C107">
        <v>2.4062561210070887E-2</v>
      </c>
      <c r="D107">
        <v>0.69934537718165823</v>
      </c>
      <c r="F107">
        <v>69.327731092436977</v>
      </c>
      <c r="G107">
        <v>0.97690908783544694</v>
      </c>
    </row>
    <row r="108" spans="1:7" x14ac:dyDescent="0.2">
      <c r="A108">
        <v>84</v>
      </c>
      <c r="B108">
        <v>0.95503215732811175</v>
      </c>
      <c r="C108">
        <v>3.1153380280189213E-2</v>
      </c>
      <c r="D108">
        <v>0.90543031942144514</v>
      </c>
      <c r="F108">
        <v>70.16806722689077</v>
      </c>
      <c r="G108">
        <v>0.97696202987814607</v>
      </c>
    </row>
    <row r="109" spans="1:7" x14ac:dyDescent="0.2">
      <c r="A109">
        <v>85</v>
      </c>
      <c r="B109">
        <v>0.95236304640743397</v>
      </c>
      <c r="C109">
        <v>4.8011399340236016E-2</v>
      </c>
      <c r="D109">
        <v>1.3953855488402374</v>
      </c>
      <c r="F109">
        <v>71.008403361344548</v>
      </c>
      <c r="G109">
        <v>0.97733476483585402</v>
      </c>
    </row>
    <row r="110" spans="1:7" x14ac:dyDescent="0.2">
      <c r="A110">
        <v>86</v>
      </c>
      <c r="B110">
        <v>0.95002887176246631</v>
      </c>
      <c r="C110">
        <v>5.1904951601483784E-2</v>
      </c>
      <c r="D110">
        <v>1.508546311360363</v>
      </c>
      <c r="F110">
        <v>71.848739495798327</v>
      </c>
      <c r="G110">
        <v>0.97945699437300604</v>
      </c>
    </row>
    <row r="111" spans="1:7" x14ac:dyDescent="0.2">
      <c r="A111">
        <v>87</v>
      </c>
      <c r="B111">
        <v>0.94708800547546235</v>
      </c>
      <c r="C111">
        <v>5.3797946364177673E-2</v>
      </c>
      <c r="D111">
        <v>1.5635636108390647</v>
      </c>
      <c r="F111">
        <v>72.689075630252105</v>
      </c>
      <c r="G111">
        <v>0.98045035905110689</v>
      </c>
    </row>
    <row r="112" spans="1:7" x14ac:dyDescent="0.2">
      <c r="A112">
        <v>88</v>
      </c>
      <c r="B112">
        <v>0.94457216746416539</v>
      </c>
      <c r="C112">
        <v>5.2233611584571626E-2</v>
      </c>
      <c r="D112">
        <v>1.518098363522661</v>
      </c>
      <c r="F112">
        <v>73.529411764705884</v>
      </c>
      <c r="G112">
        <v>0.98100362797824903</v>
      </c>
    </row>
    <row r="113" spans="1:7" x14ac:dyDescent="0.2">
      <c r="A113">
        <v>89</v>
      </c>
      <c r="B113">
        <v>0.94129983316803612</v>
      </c>
      <c r="C113">
        <v>5.9615485864403905E-2</v>
      </c>
      <c r="D113">
        <v>1.7326424267031106</v>
      </c>
      <c r="F113">
        <v>74.369747899159677</v>
      </c>
      <c r="G113">
        <v>0.98104954886945195</v>
      </c>
    </row>
    <row r="114" spans="1:7" x14ac:dyDescent="0.2">
      <c r="A114">
        <v>90</v>
      </c>
      <c r="B114">
        <v>0.93985086052314837</v>
      </c>
      <c r="C114">
        <v>5.7613008823340639E-2</v>
      </c>
      <c r="D114">
        <v>1.6744431747883195</v>
      </c>
      <c r="F114">
        <v>75.210084033613455</v>
      </c>
      <c r="G114">
        <v>0.98171736112766994</v>
      </c>
    </row>
    <row r="115" spans="1:7" x14ac:dyDescent="0.2">
      <c r="A115">
        <v>91</v>
      </c>
      <c r="B115">
        <v>0.93761822256776439</v>
      </c>
      <c r="C115">
        <v>5.6424504214683591E-2</v>
      </c>
      <c r="D115">
        <v>1.6399009165238281</v>
      </c>
      <c r="F115">
        <v>76.050420168067234</v>
      </c>
      <c r="G115">
        <v>0.98205446206393698</v>
      </c>
    </row>
    <row r="116" spans="1:7" x14ac:dyDescent="0.2">
      <c r="A116">
        <v>92</v>
      </c>
      <c r="B116">
        <v>0.9361976461396555</v>
      </c>
      <c r="C116">
        <v>5.7732307709842501E-2</v>
      </c>
      <c r="D116">
        <v>1.6779104334915649</v>
      </c>
      <c r="F116">
        <v>76.890756302521012</v>
      </c>
      <c r="G116">
        <v>0.98261441567174901</v>
      </c>
    </row>
    <row r="117" spans="1:7" x14ac:dyDescent="0.2">
      <c r="A117">
        <v>93</v>
      </c>
      <c r="B117">
        <v>0.93477252445071857</v>
      </c>
      <c r="C117">
        <v>6.6878968479231471E-2</v>
      </c>
      <c r="D117">
        <v>1.9437455983302858</v>
      </c>
      <c r="F117">
        <v>77.731092436974791</v>
      </c>
      <c r="G117">
        <v>0.98302184186630404</v>
      </c>
    </row>
    <row r="118" spans="1:7" x14ac:dyDescent="0.2">
      <c r="A118">
        <v>94</v>
      </c>
      <c r="B118">
        <v>0.93285421439105443</v>
      </c>
      <c r="C118">
        <v>6.7442490890475715E-2</v>
      </c>
      <c r="D118">
        <v>1.9601236052183049</v>
      </c>
      <c r="F118">
        <v>78.571428571428584</v>
      </c>
      <c r="G118">
        <v>0.98315540079618802</v>
      </c>
    </row>
    <row r="119" spans="1:7" x14ac:dyDescent="0.2">
      <c r="A119">
        <v>95</v>
      </c>
      <c r="B119">
        <v>0.93194556289484198</v>
      </c>
      <c r="C119">
        <v>7.1384423083218018E-2</v>
      </c>
      <c r="D119">
        <v>2.0746904641694668</v>
      </c>
      <c r="F119">
        <v>79.411764705882362</v>
      </c>
      <c r="G119">
        <v>0.98392953735977007</v>
      </c>
    </row>
    <row r="120" spans="1:7" x14ac:dyDescent="0.2">
      <c r="A120">
        <v>96</v>
      </c>
      <c r="B120">
        <v>0.93113345620576005</v>
      </c>
      <c r="C120">
        <v>7.3327087455580031E-2</v>
      </c>
      <c r="D120">
        <v>2.1311513428085314</v>
      </c>
      <c r="F120">
        <v>80.252100840336141</v>
      </c>
      <c r="G120">
        <v>0.98551901269603204</v>
      </c>
    </row>
    <row r="121" spans="1:7" x14ac:dyDescent="0.2">
      <c r="A121">
        <v>97</v>
      </c>
      <c r="B121">
        <v>0.93048384324335176</v>
      </c>
      <c r="C121">
        <v>6.2694353873726238E-2</v>
      </c>
      <c r="D121">
        <v>1.8221255075137641</v>
      </c>
      <c r="F121">
        <v>81.092436974789919</v>
      </c>
      <c r="G121">
        <v>0.9859842281120289</v>
      </c>
    </row>
    <row r="122" spans="1:7" x14ac:dyDescent="0.2">
      <c r="A122">
        <v>98</v>
      </c>
      <c r="B122">
        <v>0.93051142845951751</v>
      </c>
      <c r="C122">
        <v>6.0713290424029398E-2</v>
      </c>
      <c r="D122">
        <v>1.7645486122965923</v>
      </c>
      <c r="F122">
        <v>81.932773109243698</v>
      </c>
      <c r="G122">
        <v>0.98618553760830097</v>
      </c>
    </row>
    <row r="123" spans="1:7" x14ac:dyDescent="0.2">
      <c r="A123">
        <v>99</v>
      </c>
      <c r="B123">
        <v>0.93001960353205582</v>
      </c>
      <c r="C123">
        <v>5.5964624579973088E-2</v>
      </c>
      <c r="D123">
        <v>1.6265351449508429</v>
      </c>
      <c r="F123">
        <v>82.77310924369749</v>
      </c>
      <c r="G123">
        <v>0.98632257165838</v>
      </c>
    </row>
    <row r="124" spans="1:7" x14ac:dyDescent="0.2">
      <c r="A124">
        <v>100</v>
      </c>
      <c r="B124">
        <v>0.9300573564455592</v>
      </c>
      <c r="C124">
        <v>5.0393002605547688E-2</v>
      </c>
      <c r="D124">
        <v>1.464603585080676</v>
      </c>
      <c r="F124">
        <v>83.613445378151269</v>
      </c>
      <c r="G124">
        <v>0.99043416996786604</v>
      </c>
    </row>
    <row r="125" spans="1:7" x14ac:dyDescent="0.2">
      <c r="A125">
        <v>101</v>
      </c>
      <c r="B125">
        <v>0.93053606771695385</v>
      </c>
      <c r="C125">
        <v>5.0513481152498096E-2</v>
      </c>
      <c r="D125">
        <v>1.4681051289987885</v>
      </c>
      <c r="F125">
        <v>84.453781512605048</v>
      </c>
      <c r="G125">
        <v>0.99122471888354691</v>
      </c>
    </row>
    <row r="126" spans="1:7" x14ac:dyDescent="0.2">
      <c r="A126">
        <v>102</v>
      </c>
      <c r="B126">
        <v>0.93071502152156871</v>
      </c>
      <c r="C126">
        <v>5.18993941501803E-2</v>
      </c>
      <c r="D126">
        <v>1.5083847916516309</v>
      </c>
      <c r="F126">
        <v>85.294117647058826</v>
      </c>
      <c r="G126">
        <v>0.99193562510692701</v>
      </c>
    </row>
    <row r="127" spans="1:7" x14ac:dyDescent="0.2">
      <c r="A127">
        <v>103</v>
      </c>
      <c r="B127">
        <v>0.930746121426823</v>
      </c>
      <c r="C127">
        <v>5.0971239700846938E-2</v>
      </c>
      <c r="D127">
        <v>1.481409254102444</v>
      </c>
      <c r="F127">
        <v>86.134453781512619</v>
      </c>
      <c r="G127">
        <v>0.99299425655898998</v>
      </c>
    </row>
    <row r="128" spans="1:7" x14ac:dyDescent="0.2">
      <c r="A128">
        <v>104</v>
      </c>
      <c r="B128">
        <v>0.93295109054038838</v>
      </c>
      <c r="C128">
        <v>1.7743427632224584E-2</v>
      </c>
      <c r="D128">
        <v>0.51568841660795939</v>
      </c>
      <c r="F128">
        <v>86.974789915966397</v>
      </c>
      <c r="G128">
        <v>0.993178197117078</v>
      </c>
    </row>
    <row r="129" spans="1:7" x14ac:dyDescent="0.2">
      <c r="A129">
        <v>105</v>
      </c>
      <c r="B129">
        <v>0.93410470538257251</v>
      </c>
      <c r="C129">
        <v>2.3845257918222451E-2</v>
      </c>
      <c r="D129">
        <v>0.69302975469767436</v>
      </c>
      <c r="F129">
        <v>87.815126050420176</v>
      </c>
      <c r="G129">
        <v>0.993929953849498</v>
      </c>
    </row>
    <row r="130" spans="1:7" x14ac:dyDescent="0.2">
      <c r="A130">
        <v>106</v>
      </c>
      <c r="B130">
        <v>0.93427335355640595</v>
      </c>
      <c r="C130">
        <v>-3.7835856997371908E-2</v>
      </c>
      <c r="D130">
        <v>-1.0996473505797844</v>
      </c>
      <c r="F130">
        <v>88.655462184873954</v>
      </c>
      <c r="G130">
        <v>0.99404272678244798</v>
      </c>
    </row>
    <row r="131" spans="1:7" x14ac:dyDescent="0.2">
      <c r="A131">
        <v>107</v>
      </c>
      <c r="B131">
        <v>0.93657868107914743</v>
      </c>
      <c r="C131">
        <v>7.2334462609325856E-3</v>
      </c>
      <c r="D131">
        <v>0.21023020614937488</v>
      </c>
      <c r="F131">
        <v>89.495798319327733</v>
      </c>
      <c r="G131">
        <v>0.99504777418453405</v>
      </c>
    </row>
    <row r="132" spans="1:7" x14ac:dyDescent="0.2">
      <c r="A132">
        <v>108</v>
      </c>
      <c r="B132">
        <v>0.93827690135589337</v>
      </c>
      <c r="C132">
        <v>1.7332828342688567E-2</v>
      </c>
      <c r="D132">
        <v>0.50375491075610079</v>
      </c>
      <c r="F132">
        <v>90.336134453781526</v>
      </c>
      <c r="G132">
        <v>0.99680577904873702</v>
      </c>
    </row>
    <row r="133" spans="1:7" x14ac:dyDescent="0.2">
      <c r="A133">
        <v>109</v>
      </c>
      <c r="B133">
        <v>0.93773848904091528</v>
      </c>
      <c r="C133">
        <v>1.9198799392530774E-2</v>
      </c>
      <c r="D133">
        <v>0.55798680304177273</v>
      </c>
      <c r="F133">
        <v>91.176470588235304</v>
      </c>
      <c r="G133">
        <v>0.99746386934648901</v>
      </c>
    </row>
    <row r="134" spans="1:7" x14ac:dyDescent="0.2">
      <c r="A134">
        <v>110</v>
      </c>
      <c r="B134">
        <v>0.93623017278769005</v>
      </c>
      <c r="C134">
        <v>2.8053312238571992E-2</v>
      </c>
      <c r="D134">
        <v>0.81533108871502225</v>
      </c>
      <c r="F134">
        <v>92.016806722689083</v>
      </c>
      <c r="G134">
        <v>1.0002967052815301</v>
      </c>
    </row>
    <row r="135" spans="1:7" x14ac:dyDescent="0.2">
      <c r="A135">
        <v>111</v>
      </c>
      <c r="B135">
        <v>0.93516545611693713</v>
      </c>
      <c r="C135">
        <v>2.3366404210174885E-2</v>
      </c>
      <c r="D135">
        <v>0.67911252767658725</v>
      </c>
      <c r="F135">
        <v>92.857142857142861</v>
      </c>
      <c r="G135">
        <v>1.00037444574767</v>
      </c>
    </row>
    <row r="136" spans="1:7" x14ac:dyDescent="0.2">
      <c r="A136">
        <v>112</v>
      </c>
      <c r="B136">
        <v>0.93526213746652576</v>
      </c>
      <c r="C136">
        <v>3.7355455814057303E-2</v>
      </c>
      <c r="D136">
        <v>1.0856851483100169</v>
      </c>
      <c r="F136">
        <v>93.69747899159664</v>
      </c>
      <c r="G136">
        <v>1.00088595183964</v>
      </c>
    </row>
    <row r="137" spans="1:7" x14ac:dyDescent="0.2">
      <c r="A137">
        <v>113</v>
      </c>
      <c r="B137">
        <v>0.93902820724329916</v>
      </c>
      <c r="C137">
        <v>2.5864533647216859E-2</v>
      </c>
      <c r="D137">
        <v>0.75171723746390318</v>
      </c>
      <c r="F137">
        <v>94.537815126050432</v>
      </c>
      <c r="G137">
        <v>1.00091531903244</v>
      </c>
    </row>
    <row r="138" spans="1:7" x14ac:dyDescent="0.2">
      <c r="A138">
        <v>114</v>
      </c>
      <c r="B138">
        <v>0.94281481075810403</v>
      </c>
      <c r="C138">
        <v>2.9664180813414043E-2</v>
      </c>
      <c r="D138">
        <v>0.86214877704121329</v>
      </c>
      <c r="F138">
        <v>95.378151260504211</v>
      </c>
      <c r="G138">
        <v>1.0015262953239101</v>
      </c>
    </row>
    <row r="139" spans="1:7" x14ac:dyDescent="0.2">
      <c r="A139">
        <v>115</v>
      </c>
      <c r="B139">
        <v>0.94658207186436694</v>
      </c>
      <c r="C139">
        <v>2.4289676141299066E-2</v>
      </c>
      <c r="D139">
        <v>0.70594616152280643</v>
      </c>
      <c r="F139">
        <v>96.21848739495799</v>
      </c>
      <c r="G139">
        <v>1.00165149292995</v>
      </c>
    </row>
    <row r="140" spans="1:7" x14ac:dyDescent="0.2">
      <c r="A140">
        <v>116</v>
      </c>
      <c r="B140">
        <v>0.94895758054471857</v>
      </c>
      <c r="C140">
        <v>2.5335791649424344E-2</v>
      </c>
      <c r="D140">
        <v>0.73635007564559984</v>
      </c>
      <c r="F140">
        <v>97.058823529411768</v>
      </c>
      <c r="G140">
        <v>1.0019338233639501</v>
      </c>
    </row>
    <row r="141" spans="1:7" x14ac:dyDescent="0.2">
      <c r="A141">
        <v>117</v>
      </c>
      <c r="B141">
        <v>0.95119918522097802</v>
      </c>
      <c r="C141">
        <v>3.4319827475054021E-2</v>
      </c>
      <c r="D141">
        <v>0.99745876928121002</v>
      </c>
      <c r="F141">
        <v>97.899159663865547</v>
      </c>
      <c r="G141">
        <v>1.00332998597806</v>
      </c>
    </row>
    <row r="142" spans="1:7" x14ac:dyDescent="0.2">
      <c r="A142">
        <v>118</v>
      </c>
      <c r="B142">
        <v>0.95262353198577965</v>
      </c>
      <c r="C142">
        <v>3.9312093121147362E-2</v>
      </c>
      <c r="D142">
        <v>1.1425521311547981</v>
      </c>
      <c r="F142">
        <v>98.739495798319339</v>
      </c>
      <c r="G142">
        <v>1.0040279345052601</v>
      </c>
    </row>
    <row r="143" spans="1:7" ht="17" thickBot="1" x14ac:dyDescent="0.25">
      <c r="A143" s="8">
        <v>119</v>
      </c>
      <c r="B143" s="8">
        <v>0.95576082854380884</v>
      </c>
      <c r="C143" s="8">
        <v>2.816870881596123E-2</v>
      </c>
      <c r="D143" s="8">
        <v>0.81868493214985871</v>
      </c>
      <c r="F143" s="8">
        <v>99.579831932773118</v>
      </c>
      <c r="G143" s="8">
        <v>1.0044605436613401</v>
      </c>
    </row>
  </sheetData>
  <sortState xmlns:xlrd2="http://schemas.microsoft.com/office/spreadsheetml/2017/richdata2" ref="G25:G143">
    <sortCondition ref="G25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C282-577C-F744-AFB3-9D136C41FC03}">
  <dimension ref="A1"/>
  <sheetViews>
    <sheetView topLeftCell="A41" workbookViewId="0">
      <selection activeCell="B44" sqref="B4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DATA</vt:lpstr>
      <vt:lpstr>Quarterly Real GDP</vt:lpstr>
      <vt:lpstr>HP Filter</vt:lpstr>
      <vt:lpstr>Okun's Law ANOVA Table</vt:lpstr>
      <vt:lpstr>PC ANOVA Table</vt:lpstr>
      <vt:lpstr>IS Curve ANOVA Table</vt:lpstr>
      <vt:lpstr>Labor Force </vt:lpstr>
      <vt:lpstr>Productivity &amp; ULC</vt:lpstr>
      <vt:lpstr>Abenomics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Samlal</dc:creator>
  <cp:lastModifiedBy>Shivani Samlal</cp:lastModifiedBy>
  <dcterms:created xsi:type="dcterms:W3CDTF">2025-05-05T20:03:47Z</dcterms:created>
  <dcterms:modified xsi:type="dcterms:W3CDTF">2025-05-24T00:57:19Z</dcterms:modified>
</cp:coreProperties>
</file>